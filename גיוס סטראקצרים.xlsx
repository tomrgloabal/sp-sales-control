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rfo-my.sharepoint.com/personal/share_ar-fo_co_il/Documents/Company/מנהל ואדמינסטרציה/חברות/אש ארביטראז/מיזם תום אלטרנטיבי/סוכנות ארביטראז ריכטר גלובל/מסמכים משותפים/"/>
    </mc:Choice>
  </mc:AlternateContent>
  <xr:revisionPtr revIDLastSave="4501" documentId="11_AD4DCBB4A06381AAC71CFC1F1E17EB5A693EDF2F" xr6:coauthVersionLast="47" xr6:coauthVersionMax="47" xr10:uidLastSave="{838107E9-30AD-4E64-AA93-558BCA226D53}"/>
  <bookViews>
    <workbookView minimized="1" xWindow="680" yWindow="680" windowWidth="2370" windowHeight="560" xr2:uid="{00000000-000D-0000-FFFF-FFFF00000000}"/>
  </bookViews>
  <sheets>
    <sheet name="גיוסים" sheetId="4" r:id="rId1"/>
    <sheet name="גיליון3" sheetId="8" r:id="rId2"/>
    <sheet name="תרשים זרימה" sheetId="5" r:id="rId3"/>
    <sheet name="טמפלט" sheetId="7" r:id="rId4"/>
    <sheet name="גיליון2" sheetId="3" r:id="rId5"/>
    <sheet name="גיליון1" sheetId="6" r:id="rId6"/>
  </sheets>
  <definedNames>
    <definedName name="_xlnm._FilterDatabase" localSheetId="0" hidden="1">גיוסים!$A$1:$M$420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4" i="4" l="1"/>
  <c r="L525" i="4" s="1"/>
  <c r="H502" i="4"/>
  <c r="L502" i="4" s="1"/>
  <c r="H381" i="4"/>
  <c r="H491" i="4"/>
  <c r="H510" i="4"/>
  <c r="L511" i="4" s="1"/>
  <c r="H482" i="4"/>
  <c r="H453" i="4"/>
  <c r="M443" i="4" l="1"/>
  <c r="N443" i="4" s="1"/>
  <c r="M446" i="4"/>
  <c r="N446" i="4" s="1"/>
  <c r="M447" i="4"/>
  <c r="N447" i="4" s="1"/>
  <c r="M445" i="4"/>
  <c r="N445" i="4" s="1"/>
  <c r="M444" i="4"/>
  <c r="N444" i="4" s="1"/>
  <c r="H462" i="4"/>
  <c r="H418" i="4"/>
  <c r="N448" i="4" l="1"/>
  <c r="M454" i="4" s="1"/>
  <c r="H434" i="4"/>
  <c r="H427" i="4"/>
  <c r="N404" i="4" l="1"/>
  <c r="M404" i="4" l="1"/>
  <c r="N403" i="4"/>
  <c r="M402" i="4"/>
  <c r="N402" i="4"/>
  <c r="N401" i="4"/>
  <c r="M403" i="4"/>
  <c r="M401" i="4"/>
  <c r="H411" i="4"/>
  <c r="N387" i="4"/>
  <c r="M387" i="4"/>
  <c r="N386" i="4"/>
  <c r="M386" i="4"/>
  <c r="N392" i="4"/>
  <c r="N393" i="4" s="1"/>
  <c r="H393" i="4"/>
  <c r="M392" i="4"/>
  <c r="M384" i="4"/>
  <c r="M385" i="4"/>
  <c r="N374" i="4"/>
  <c r="N385" i="4"/>
  <c r="N384" i="4"/>
  <c r="N375" i="4"/>
  <c r="N373" i="4"/>
  <c r="N372" i="4"/>
  <c r="M375" i="4"/>
  <c r="M374" i="4"/>
  <c r="M373" i="4"/>
  <c r="M372" i="4"/>
  <c r="H388" i="4"/>
  <c r="H363" i="4"/>
  <c r="H356" i="4"/>
  <c r="H351" i="4"/>
  <c r="H337" i="4"/>
  <c r="H327" i="4"/>
  <c r="H316" i="4"/>
  <c r="H308" i="4"/>
  <c r="H301" i="4"/>
  <c r="H290" i="4"/>
  <c r="H279" i="4"/>
  <c r="H266" i="4"/>
  <c r="H252" i="4"/>
  <c r="H241" i="4"/>
  <c r="H228" i="4"/>
  <c r="H217" i="4"/>
  <c r="N388" i="4" l="1"/>
  <c r="N405" i="4"/>
  <c r="N412" i="4" s="1"/>
  <c r="N377" i="4"/>
</calcChain>
</file>

<file path=xl/sharedStrings.xml><?xml version="1.0" encoding="utf-8"?>
<sst xmlns="http://schemas.openxmlformats.org/spreadsheetml/2006/main" count="2832" uniqueCount="439">
  <si>
    <t>סכום הפיקדון</t>
  </si>
  <si>
    <t xml:space="preserve">שם המשקיע </t>
  </si>
  <si>
    <t>שם מלא</t>
  </si>
  <si>
    <t>שותף</t>
  </si>
  <si>
    <t>בנק</t>
  </si>
  <si>
    <t>מוצר</t>
  </si>
  <si>
    <t>סכום</t>
  </si>
  <si>
    <t>מטבע</t>
  </si>
  <si>
    <t>ISSUE DATE</t>
  </si>
  <si>
    <t>מנפיק</t>
  </si>
  <si>
    <t xml:space="preserve">דור אסרף </t>
  </si>
  <si>
    <t> ATK - 12.15% P.A. - (PANW, TSLA, AVGO) - 04/2028</t>
  </si>
  <si>
    <t>רון</t>
  </si>
  <si>
    <t>בינלאומי</t>
  </si>
  <si>
    <t>XS2969350003</t>
  </si>
  <si>
    <t>ILS</t>
  </si>
  <si>
    <t xml:space="preserve">מטע אבני </t>
  </si>
  <si>
    <t>קובי</t>
  </si>
  <si>
    <t>דיסקונט</t>
  </si>
  <si>
    <t>אלון ביתן</t>
  </si>
  <si>
    <t>תום</t>
  </si>
  <si>
    <t>IDD Investments</t>
  </si>
  <si>
    <t>ATK - 20.0% P.A. - (AAPL, GOOGL, MSFT) - 10/2027</t>
  </si>
  <si>
    <t>ספרא</t>
  </si>
  <si>
    <t>XS3042896434</t>
  </si>
  <si>
    <t>USD</t>
  </si>
  <si>
    <t>ATK - 16.0% P.A. - (AMD, GOOGL, META) - 05/2028</t>
  </si>
  <si>
    <t xml:space="preserve">XS3043582033 </t>
  </si>
  <si>
    <t>ATK - 23.28% P.A. - (AXP, HOOD, NKE) - 04/2028</t>
  </si>
  <si>
    <t xml:space="preserve">XS2999223758 </t>
  </si>
  <si>
    <t>ATK - 16.0% P.A. - (C, BAC, JPM) - 05/2028</t>
  </si>
  <si>
    <t xml:space="preserve">XS3049570859 </t>
  </si>
  <si>
    <t>XS3049570859</t>
  </si>
  <si>
    <t>אמ. קיי. אקוויטי הולדינגס בע"מ</t>
  </si>
  <si>
    <t> ATK - 12.75% P.A. - (BAC, C, JPM) - 04/2028</t>
  </si>
  <si>
    <t>XS3042896517</t>
  </si>
  <si>
    <t>ווינהלפ</t>
  </si>
  <si>
    <t>פועלים</t>
  </si>
  <si>
    <t xml:space="preserve">דן רוטנברג </t>
  </si>
  <si>
    <t>מזרחי</t>
  </si>
  <si>
    <t>ATK - 12.2% P.A. - (NVDA, AMZN, META) - 05/2028</t>
  </si>
  <si>
    <t>XS3048306115</t>
  </si>
  <si>
    <t xml:space="preserve">אלון יאבו  </t>
  </si>
  <si>
    <t xml:space="preserve">שרון ניר </t>
  </si>
  <si>
    <t>לאומי</t>
  </si>
  <si>
    <t>אלון ביתן משרד עורכי דין</t>
  </si>
  <si>
    <t>  ATK - 15.2% P.A. - (NVDA, AAPL, AMZN) - 05/2028</t>
  </si>
  <si>
    <t>XS3006572575</t>
  </si>
  <si>
    <t> ATK - 16.0% P.A. - (NVDA, AMZN, META) - 05/2028</t>
  </si>
  <si>
    <t xml:space="preserve">XS3006572229 </t>
  </si>
  <si>
    <t>אליאב ברנד</t>
  </si>
  <si>
    <t> ATK - 13.0% P.A. - (NVDA, AMZN, META) - 05/2028</t>
  </si>
  <si>
    <t>XS3006572492</t>
  </si>
  <si>
    <t>EUR</t>
  </si>
  <si>
    <t>שרון ניר</t>
  </si>
  <si>
    <t>ATK - 14.35% P.A. - (NVO, NKE, DAL) - 05/2028</t>
  </si>
  <si>
    <t xml:space="preserve">XS2997070169 </t>
  </si>
  <si>
    <t xml:space="preserve">דרור פלנבאום </t>
  </si>
  <si>
    <t>שמעון לוי</t>
  </si>
  <si>
    <t>חגית רייסס</t>
  </si>
  <si>
    <t xml:space="preserve">אלון יאבו </t>
  </si>
  <si>
    <t>XS3028954140</t>
  </si>
  <si>
    <t xml:space="preserve"> XS3028954140</t>
  </si>
  <si>
    <t xml:space="preserve">מאיר סנדיק </t>
  </si>
  <si>
    <t>עומר חילוואני</t>
  </si>
  <si>
    <t> ATK - 15.63% P.A. - (MRVL, GOOGL, TSM) - 06/2028</t>
  </si>
  <si>
    <t xml:space="preserve">רון </t>
  </si>
  <si>
    <t>XS2747823073</t>
  </si>
  <si>
    <t>עודד שכטר</t>
  </si>
  <si>
    <t xml:space="preserve">פליקס ויידרמן </t>
  </si>
  <si>
    <t xml:space="preserve"> XS3043074049 </t>
  </si>
  <si>
    <t>אורן פישר</t>
  </si>
  <si>
    <t>ATK - 12.0% P.A. - (SHOP, META, CRM) - 06/2028</t>
  </si>
  <si>
    <t>XS3045925834</t>
  </si>
  <si>
    <t>תומר דבי</t>
  </si>
  <si>
    <t>נועה שדה</t>
  </si>
  <si>
    <t>טדי צלר</t>
  </si>
  <si>
    <t>רננה חנה טפרברג</t>
  </si>
  <si>
    <t>יובנק</t>
  </si>
  <si>
    <t>מוטי בירנבאום</t>
  </si>
  <si>
    <t>מירי ומנדי נשר</t>
  </si>
  <si>
    <t>אבי קליין</t>
  </si>
  <si>
    <t>דיסקונט הפרטי (לא אצלנו)</t>
  </si>
  <si>
    <t>ATK - 12.0% P.A. - (AMD, AAPL, GOOGL) - 06/2028</t>
  </si>
  <si>
    <t xml:space="preserve"> XS2747831258</t>
  </si>
  <si>
    <t>יונית הלפרט</t>
  </si>
  <si>
    <t>XS2747831258</t>
  </si>
  <si>
    <t>ATK - 12.2% P.A. - (NVDA, TSLA, AMZN) - 06/2028</t>
  </si>
  <si>
    <t xml:space="preserve"> XS2747831332</t>
  </si>
  <si>
    <t>XS2747831332</t>
  </si>
  <si>
    <t>ATK - 11.75% P.A. - (CRM, META, SHOP) - 06/2028</t>
  </si>
  <si>
    <t>XS2747831175</t>
  </si>
  <si>
    <t> ATK - 15.26% P.A. - (AAPL, DAL, APP) - 07/2028</t>
  </si>
  <si>
    <t>XS3081349204 </t>
  </si>
  <si>
    <t>MORGAN STANLEY</t>
  </si>
  <si>
    <t>אייל רובס</t>
  </si>
  <si>
    <t>אברהם לוגסי</t>
  </si>
  <si>
    <t>אלי חילוואני</t>
  </si>
  <si>
    <t>וונהלפ</t>
  </si>
  <si>
    <t>נשר מ.יועצים</t>
  </si>
  <si>
    <t>מורן גלבר</t>
  </si>
  <si>
    <t>מורן</t>
  </si>
  <si>
    <t>אקוויטי הולדינגס</t>
  </si>
  <si>
    <t>אלעד לביא</t>
  </si>
  <si>
    <t>ATK - 17.5% P.A. - (AAPL, DAL, APP) - 07/2028</t>
  </si>
  <si>
    <t>XS3081349113</t>
  </si>
  <si>
    <t>אמ.איי.קיי אקוויטי הולדינגס</t>
  </si>
  <si>
    <t xml:space="preserve">תום </t>
  </si>
  <si>
    <t xml:space="preserve">IDD Investments </t>
  </si>
  <si>
    <t>יוסף סאסי</t>
  </si>
  <si>
    <t>ATK - 17.5% P.A. - (INTC, MRVL, ORCL) - 07/2028</t>
  </si>
  <si>
    <t>תמיר</t>
  </si>
  <si>
    <t>XS3067066913</t>
  </si>
  <si>
    <t>איל שלו</t>
  </si>
  <si>
    <t>הבינלאומי</t>
  </si>
  <si>
    <t>אהרון דוד</t>
  </si>
  <si>
    <t>מנחם לביא</t>
  </si>
  <si>
    <t>איל רוזובסקי</t>
  </si>
  <si>
    <t>אבי קליין (פרטי)</t>
  </si>
  <si>
    <t>זיו גביש</t>
  </si>
  <si>
    <t>ATK - 14.0% P.A. - (INTC, MRVL, ORCL) - 07/2028</t>
  </si>
  <si>
    <t>XS3094828913</t>
  </si>
  <si>
    <t>חגית ריסיס</t>
  </si>
  <si>
    <t>אסף לביא</t>
  </si>
  <si>
    <t>דליה טבח</t>
  </si>
  <si>
    <t>יעקב מרון</t>
  </si>
  <si>
    <t>תומר שי</t>
  </si>
  <si>
    <t>איתמר סונינו</t>
  </si>
  <si>
    <t>עמירם מסס</t>
  </si>
  <si>
    <t>ATK - 14.3% P.A. - (ARM, UAL, NKE) - 08/2028</t>
  </si>
  <si>
    <t>XS3079156181</t>
  </si>
  <si>
    <t>BBVA</t>
  </si>
  <si>
    <t>ATK - 17.3% P.A. - (NKE, UAL, ARM) - 08/2028</t>
  </si>
  <si>
    <t>XS3079156264</t>
  </si>
  <si>
    <t>רעות אמזלג</t>
  </si>
  <si>
    <t>ערבה לביא</t>
  </si>
  <si>
    <t>ATK - 13.0% P.A. - (UAL, ARM, NKE) - 08/2028</t>
  </si>
  <si>
    <t>תם</t>
  </si>
  <si>
    <t>XS3095001486</t>
  </si>
  <si>
    <t>זוהר בן נר</t>
  </si>
  <si>
    <t>טל חדד</t>
  </si>
  <si>
    <t>אדר שירותים חקלאיים</t>
  </si>
  <si>
    <t> ATK - 17.5% P.A. - (INTC, MRVL, ORCL) - 08/2028</t>
  </si>
  <si>
    <t>XS3079169911</t>
  </si>
  <si>
    <t> ATK - 17.5% P.A. - (INTC, MRVL, ORCL) - 08/2029</t>
  </si>
  <si>
    <t> ATK - 14.36% P.A. - (MRVL, INTC, ORCL) - 08/2028</t>
  </si>
  <si>
    <t>XS3079170091</t>
  </si>
  <si>
    <t>ATK - 13.1% P.A. - (APO, KKR, BARC) - 08/2028</t>
  </si>
  <si>
    <t>XS3087462753</t>
  </si>
  <si>
    <t>BNP PARIBAS</t>
  </si>
  <si>
    <t>מאיה אייל</t>
  </si>
  <si>
    <t>קובי +ניר לוגסי</t>
  </si>
  <si>
    <t>גלעד דוד וגר-אור גילאור לילך</t>
  </si>
  <si>
    <t xml:space="preserve">IDD </t>
  </si>
  <si>
    <t>ATK - 10.0% P.A. - (KKR, APO, BARC) - 02/2027</t>
  </si>
  <si>
    <t>XS3087462837</t>
  </si>
  <si>
    <t>תיאטראות ישראל</t>
  </si>
  <si>
    <t> ATK - 17.65% P.A. - (TSLA, AVGO, SHOP) - 08/2029</t>
  </si>
  <si>
    <t>XS3095834852</t>
  </si>
  <si>
    <t>אילון אורבך</t>
  </si>
  <si>
    <t xml:space="preserve">אהרון דוד </t>
  </si>
  <si>
    <t> ATK - 15.5% P.A. - (AVGO, SHOP, TSLA) - 09/2028</t>
  </si>
  <si>
    <t>XS3162928793</t>
  </si>
  <si>
    <t>אלון יאבו</t>
  </si>
  <si>
    <t xml:space="preserve">מרדכי בירנבאום </t>
  </si>
  <si>
    <t>גיא רג'ואן</t>
  </si>
  <si>
    <t>גלי וליאור גינסברג</t>
  </si>
  <si>
    <t xml:space="preserve"> ATK - 17.0% P.A. - (META, PLTR, AMD) - 09/2028</t>
  </si>
  <si>
    <t>XS3163042578</t>
  </si>
  <si>
    <t>דרור פלנבאום</t>
  </si>
  <si>
    <t>אברי פרבשטיין</t>
  </si>
  <si>
    <t>ATK - 14.26% P.A. - (META, PLTR, AMD) - 09/2028</t>
  </si>
  <si>
    <t> XS3163042495</t>
  </si>
  <si>
    <t>מ.ט.ע אבני</t>
  </si>
  <si>
    <t>ATK★ - 10.0% P.A. - (AMD, MRVL, META, PLTR) - 09/2028</t>
  </si>
  <si>
    <t>XS2945537970</t>
  </si>
  <si>
    <t>BNP</t>
  </si>
  <si>
    <t>אמ.איי.קיי אקוויטי הולדינגס בע"מ</t>
  </si>
  <si>
    <t>ליאורה ודורון בר</t>
  </si>
  <si>
    <t>ATK★ - 12.0% P.A. - (AMD, MRVL, META, PLTR) - 09/2029</t>
  </si>
  <si>
    <t>XS3127261736</t>
  </si>
  <si>
    <t>CITI</t>
  </si>
  <si>
    <t>ATK - 14.6% P.A. - (HOOD, SNPS, UNH) - 09/2028</t>
  </si>
  <si>
    <t>XS3108886725</t>
  </si>
  <si>
    <t>א. רוזובסקי</t>
  </si>
  <si>
    <t>עדי וליאור מרגוליס</t>
  </si>
  <si>
    <t>אורי אפלבוים</t>
  </si>
  <si>
    <t>דורית צדיק</t>
  </si>
  <si>
    <t>IRA</t>
  </si>
  <si>
    <t>מיטל קליין</t>
  </si>
  <si>
    <t>אינפוגרף מוצרי נייר (1991) בע"מ</t>
  </si>
  <si>
    <t> ATK - 15.5% P.A. - (HOOD, SNPS, UNH) - 09/2028</t>
  </si>
  <si>
    <t>XS3163200317</t>
  </si>
  <si>
    <t>Morgan Stanley</t>
  </si>
  <si>
    <t>ליאור אקרמן</t>
  </si>
  <si>
    <t> ATK - 15.5% P.A. - (HOOD, SNPS, UNH) - 09/2029</t>
  </si>
  <si>
    <t>מאיר סנדיק</t>
  </si>
  <si>
    <t xml:space="preserve"> ATK - 15.0% P.A. - (MU, ORCL, NVO) - 10/2028</t>
  </si>
  <si>
    <t>XS3131940275</t>
  </si>
  <si>
    <t>  ATK - 15.0% P.A. - (MU, ORCL, NVO) - 10/2028</t>
  </si>
  <si>
    <t>א.רוזובסקי, חברה לעריכת דין</t>
  </si>
  <si>
    <t>ATK - 18.4% P.A. - (ORCL, MU, NVO) - 10/2028</t>
  </si>
  <si>
    <t>XS3126412249</t>
  </si>
  <si>
    <t>תומר ועלומה שערי</t>
  </si>
  <si>
    <t>מדרכי בירנבאום</t>
  </si>
  <si>
    <t xml:space="preserve"> ATK - 12.7% P.A. - (AVGO, DELL, TSM) - 10/2028</t>
  </si>
  <si>
    <t>XS3144245902</t>
  </si>
  <si>
    <t>מרדכי שורק</t>
  </si>
  <si>
    <t>לאומי + IRA</t>
  </si>
  <si>
    <t>משה לחאובר</t>
  </si>
  <si>
    <t>אבי קשטן</t>
  </si>
  <si>
    <t xml:space="preserve"> ATK - 16.0% P.A. - (AVGO, DELL, TSM) - 10/2028</t>
  </si>
  <si>
    <t>CH1496177531</t>
  </si>
  <si>
    <t>UBS</t>
  </si>
  <si>
    <t>מיכאל עזריה</t>
  </si>
  <si>
    <t>ג'קלין שורק</t>
  </si>
  <si>
    <t>דן רוטנברג</t>
  </si>
  <si>
    <t xml:space="preserve">תאטראות </t>
  </si>
  <si>
    <t>נשר</t>
  </si>
  <si>
    <t>סה"כ גויס</t>
  </si>
  <si>
    <t>סה"כ נשאר לגיוס</t>
  </si>
  <si>
    <t>אדר חקלאות</t>
  </si>
  <si>
    <t>הלנה טננבאום</t>
  </si>
  <si>
    <t xml:space="preserve">קרן מגן ישראל </t>
  </si>
  <si>
    <t xml:space="preserve">אורן </t>
  </si>
  <si>
    <t>סטטוס</t>
  </si>
  <si>
    <t>הועברה לקובי הוראת רכישה</t>
  </si>
  <si>
    <t>XS3172851837</t>
  </si>
  <si>
    <t>350000 EUR</t>
  </si>
  <si>
    <t>600000 USD</t>
  </si>
  <si>
    <t>2000000 ILS</t>
  </si>
  <si>
    <t xml:space="preserve">אורן שפירא </t>
  </si>
  <si>
    <t>XS3172852058</t>
  </si>
  <si>
    <t> XS3172851910 </t>
  </si>
  <si>
    <t>רון דודזון</t>
  </si>
  <si>
    <t>הגדלה תום 200,000</t>
  </si>
  <si>
    <t>דקל לוי</t>
  </si>
  <si>
    <t>אורנה ליאור</t>
  </si>
  <si>
    <t>ריכטר</t>
  </si>
  <si>
    <t>CH1501958685</t>
  </si>
  <si>
    <t>500,000USD</t>
  </si>
  <si>
    <t>XS3180172556</t>
  </si>
  <si>
    <t>MRVL-AMD-LRCK</t>
  </si>
  <si>
    <t>LRCK-AMD-MRVL</t>
  </si>
  <si>
    <t>AMD-LRCK-MRVL</t>
  </si>
  <si>
    <t>META-ORCL-IBM-PLTR</t>
  </si>
  <si>
    <t>מטע אבני</t>
  </si>
  <si>
    <t>הועברה הוראה ללקוחה</t>
  </si>
  <si>
    <t>בוצע</t>
  </si>
  <si>
    <t>נשלח למורן לביצוע</t>
  </si>
  <si>
    <t>אלון זיו</t>
  </si>
  <si>
    <t>XS3229296846</t>
  </si>
  <si>
    <t xml:space="preserve">קובי </t>
  </si>
  <si>
    <t>אוגידק בע"מ</t>
  </si>
  <si>
    <t>לאומי IRA</t>
  </si>
  <si>
    <t>מאיר מכלין</t>
  </si>
  <si>
    <t>NVDA-AMZN-ARM - 17%</t>
  </si>
  <si>
    <t>ARM-COIN-MSFT -16.88%</t>
  </si>
  <si>
    <t>ORCL-META-AVGO - 14%</t>
  </si>
  <si>
    <t>XS3191933913</t>
  </si>
  <si>
    <t>א.רוזובסקי</t>
  </si>
  <si>
    <t>עוז אברהם</t>
  </si>
  <si>
    <t>פליקס ויידרמן</t>
  </si>
  <si>
    <t>ציון צמח</t>
  </si>
  <si>
    <t>גולן דהן</t>
  </si>
  <si>
    <t>CH1507404403</t>
  </si>
  <si>
    <t>ביתן</t>
  </si>
  <si>
    <t>קליין</t>
  </si>
  <si>
    <t>ג'קי</t>
  </si>
  <si>
    <t>אינפוגרף בע"מ</t>
  </si>
  <si>
    <t xml:space="preserve">ג'קי שורק </t>
  </si>
  <si>
    <t>טל שדה</t>
  </si>
  <si>
    <t>פרודקשיין פלור</t>
  </si>
  <si>
    <t>1,600,000 ILS</t>
  </si>
  <si>
    <t>PANW-VRT-UBER -14.5%</t>
  </si>
  <si>
    <t>XS3204600939</t>
  </si>
  <si>
    <t>250,000 EUR</t>
  </si>
  <si>
    <t>250,000 USD</t>
  </si>
  <si>
    <t>2,000,000 ILS</t>
  </si>
  <si>
    <t>PANW-VRT-UBER - 17%</t>
  </si>
  <si>
    <t>PANW-UBER-VRT - 14%</t>
  </si>
  <si>
    <t>XS3204600855</t>
  </si>
  <si>
    <t>XS3239067856</t>
  </si>
  <si>
    <t>UBP</t>
  </si>
  <si>
    <t>זהר בן נר</t>
  </si>
  <si>
    <t>נשלח הוראה</t>
  </si>
  <si>
    <t>עדיים לא נשלחה הוראה</t>
  </si>
  <si>
    <t>רינה ליאור</t>
  </si>
  <si>
    <t>XS3209186850</t>
  </si>
  <si>
    <t>500,000 ILS</t>
  </si>
  <si>
    <t>הועברה הוראה ללקוח</t>
  </si>
  <si>
    <t>פישר</t>
  </si>
  <si>
    <t>XS3212548450</t>
  </si>
  <si>
    <t>APO-BAC-DAL-12.02%</t>
  </si>
  <si>
    <t>3,000,000 ILS</t>
  </si>
  <si>
    <t>200,000 EUR</t>
  </si>
  <si>
    <t>XS3224263486</t>
  </si>
  <si>
    <t>GOOGL-DELL-AMZN - 13%</t>
  </si>
  <si>
    <t>XS3204494648</t>
  </si>
  <si>
    <t>GOOGL-AMZN-NVDA - 12.5%</t>
  </si>
  <si>
    <t>נעה שדה</t>
  </si>
  <si>
    <t>רון צוברי</t>
  </si>
  <si>
    <t>תום ריכטר</t>
  </si>
  <si>
    <t>קובי לוין</t>
  </si>
  <si>
    <t>Safra</t>
  </si>
  <si>
    <t>אדר שירותים חקלאיים בעמ</t>
  </si>
  <si>
    <t>מ.ט.ע אבני בע"מ אבני</t>
  </si>
  <si>
    <t>פרודקשיין פלור בע"מ</t>
  </si>
  <si>
    <t>AVGO-AMD-ASML - 17.25%</t>
  </si>
  <si>
    <t>סנדיק</t>
  </si>
  <si>
    <t>AMD-ASML-AVGO -15%</t>
  </si>
  <si>
    <t>XS3224275142</t>
  </si>
  <si>
    <t>XS3204504461</t>
  </si>
  <si>
    <t>AMD-ASML-AVGO-15.5%</t>
  </si>
  <si>
    <t>APO-VST-BAC - 15%</t>
  </si>
  <si>
    <t>אסף טל</t>
  </si>
  <si>
    <t xml:space="preserve"> אורן פישר</t>
  </si>
  <si>
    <t>תום ריכטר,רון צוברי,קובי לוין,תמיר כהן,אורן שפירא</t>
  </si>
  <si>
    <t>אורן שפירא</t>
  </si>
  <si>
    <t>גיל פיינגולד</t>
  </si>
  <si>
    <t>TRADE DATE</t>
  </si>
  <si>
    <t>דד ליין</t>
  </si>
  <si>
    <t xml:space="preserve">קבלת TS </t>
  </si>
  <si>
    <t>העברת המידע לתפעול</t>
  </si>
  <si>
    <t>הגר</t>
  </si>
  <si>
    <t>פתחת טבלה חדשה בקובץ גיוסים- לעדכן את הגר</t>
  </si>
  <si>
    <t>שליחת בקשה לשותפים למילוי טבלה</t>
  </si>
  <si>
    <t>TRADE +1</t>
  </si>
  <si>
    <t>תהליכים</t>
  </si>
  <si>
    <t>מטרות</t>
  </si>
  <si>
    <t>טבלת גיוסים מלאה</t>
  </si>
  <si>
    <t>TRADE +2</t>
  </si>
  <si>
    <t xml:space="preserve"> </t>
  </si>
  <si>
    <t>רישום הנחיות רכישה- TICKET</t>
  </si>
  <si>
    <t>עדכון פריווטאם בטיקטים</t>
  </si>
  <si>
    <t>TRADE +3</t>
  </si>
  <si>
    <t>כל הכספים עברו למעט לאומי</t>
  </si>
  <si>
    <t xml:space="preserve">בקרה על ביצוע בפועל+ אישור מפריווטאם </t>
  </si>
  <si>
    <t>?</t>
  </si>
  <si>
    <t>רון  אומר שבוצע</t>
  </si>
  <si>
    <t>בנק לאומי</t>
  </si>
  <si>
    <t>בבדיקה</t>
  </si>
  <si>
    <t>צצח</t>
  </si>
  <si>
    <t>Poalim</t>
  </si>
  <si>
    <t>Leumi</t>
  </si>
  <si>
    <t>Discount</t>
  </si>
  <si>
    <t>Mizrahi</t>
  </si>
  <si>
    <t>סבכסג</t>
  </si>
  <si>
    <t>XS3081349204</t>
  </si>
  <si>
    <t>סך פר בנק</t>
  </si>
  <si>
    <t xml:space="preserve">CH1518707661 </t>
  </si>
  <si>
    <t>רננה טפרברג</t>
  </si>
  <si>
    <t>ציון שריג- יוניקטק 875***</t>
  </si>
  <si>
    <t>פועלים,דיסקונט,לאומי,מזרחי,Safra,UBP,הבינלאומי,יובנק</t>
  </si>
  <si>
    <t>פלדיגיטל</t>
  </si>
  <si>
    <t xml:space="preserve">אהרן דוד </t>
  </si>
  <si>
    <t>XS3204504545</t>
  </si>
  <si>
    <t>FIBI</t>
  </si>
  <si>
    <t>SAFRA</t>
  </si>
  <si>
    <t>רננה</t>
  </si>
  <si>
    <t>200'000</t>
  </si>
  <si>
    <t xml:space="preserve">אורן פישר </t>
  </si>
  <si>
    <t>ציון שריג</t>
  </si>
  <si>
    <t>אינפוגרף</t>
  </si>
  <si>
    <t>אורן</t>
  </si>
  <si>
    <t>אוקיי דיגיטל</t>
  </si>
  <si>
    <t>CEG-APP-MRVL-META - 14.3%</t>
  </si>
  <si>
    <t>XS3278485001</t>
  </si>
  <si>
    <t>גולי ארגוב</t>
  </si>
  <si>
    <t>KKR-VST-TEVA - 14%</t>
  </si>
  <si>
    <t>XS3242998584</t>
  </si>
  <si>
    <t>תמיר כהן</t>
  </si>
  <si>
    <t>GOLDMAN SACHS</t>
  </si>
  <si>
    <t>פלדיגיטל בע"מ</t>
  </si>
  <si>
    <t>הוראה חתומה הועברה לבנק</t>
  </si>
  <si>
    <t>יוניקטק ***875</t>
  </si>
  <si>
    <t>עדיין לא לשלוח הוראה,ממתין להכנת הוראה,הועברה הוראה לחתימת לקוח,הועברה הוראה לתום,הועברה הוראה לרון,הועברה הוראה לקובי,הועברה הוראה לאורן,הועברה הוראה לתמיר,הועברה הוראה למורן,הוראה חתומה הועברה לבנק,בוצע</t>
  </si>
  <si>
    <t>אוקיי דיגיטל בע"מ</t>
  </si>
  <si>
    <t>חסר עוד</t>
  </si>
  <si>
    <t>BARCLAYSXS3212548450</t>
  </si>
  <si>
    <t>BARCLAYS</t>
  </si>
  <si>
    <t xml:space="preserve"> ATK★ - 15.5% P.A. - (AMD, NVDA, MRVL, APP) - 05/2028</t>
  </si>
  <si>
    <t>ATK - 14.0% P.A. - (MRVL, GOOGL, TSM) - 05/2028</t>
  </si>
  <si>
    <t>XS3172851910</t>
  </si>
  <si>
    <t>גיא רגו'ואן</t>
  </si>
  <si>
    <t>XS3250117267</t>
  </si>
  <si>
    <t>AVGO-NVDA-ORCL-18.12%</t>
  </si>
  <si>
    <t>AVGO-NVDA-AMZN-14.2%</t>
  </si>
  <si>
    <t>XS3250117184</t>
  </si>
  <si>
    <t>פלדיגטל בע"מ</t>
  </si>
  <si>
    <t>מוטי איצקוביץ</t>
  </si>
  <si>
    <t>IDD</t>
  </si>
  <si>
    <t>אוקי דיגיטל</t>
  </si>
  <si>
    <t>CANCELLED</t>
  </si>
  <si>
    <t>XS3292672451</t>
  </si>
  <si>
    <t>MSFT-LRCK-VST-PLTR - 14.32%</t>
  </si>
  <si>
    <t>אוגידק יעוץ וניהול בע"מ</t>
  </si>
  <si>
    <t>יעל דוד</t>
  </si>
  <si>
    <t>GOLDMAN SACHCS</t>
  </si>
  <si>
    <t>350,000  USD</t>
  </si>
  <si>
    <t>MSFT-LRCK-VST-PLTR - 16.13%</t>
  </si>
  <si>
    <t>XS3292697953</t>
  </si>
  <si>
    <t>אישור ניהול חן</t>
  </si>
  <si>
    <t>מיכל טולדנו</t>
  </si>
  <si>
    <t>150,000 EUR</t>
  </si>
  <si>
    <t>AMZN-AVGO-NVDA-13%</t>
  </si>
  <si>
    <t>XS3260435915</t>
  </si>
  <si>
    <t>שלמה דדון</t>
  </si>
  <si>
    <t>AMD-MU-WDC - 15.51%</t>
  </si>
  <si>
    <t>XS3292957613</t>
  </si>
  <si>
    <t>500,000  USD</t>
  </si>
  <si>
    <t>AMD-MU-WDC-18%</t>
  </si>
  <si>
    <t>XS3287504065</t>
  </si>
  <si>
    <t xml:space="preserve">א.רוזובסקי </t>
  </si>
  <si>
    <t>אייל שליו</t>
  </si>
  <si>
    <t>רננה טפרברג (ישי)</t>
  </si>
  <si>
    <t>שחר אלעד</t>
  </si>
  <si>
    <t>אתי ריכטר</t>
  </si>
  <si>
    <t>CRWD-MSFT-PANW-HOOD-15%</t>
  </si>
  <si>
    <t>XS3293054493</t>
  </si>
  <si>
    <t>CRWD-PANW-MSFT-HOOD-17.5%</t>
  </si>
  <si>
    <t>דוד שחטר</t>
  </si>
  <si>
    <t xml:space="preserve">א.ב. הידראוליקה בע"מ </t>
  </si>
  <si>
    <t>550,000  USD</t>
  </si>
  <si>
    <t>AMD-MU-WDC-15.4%</t>
  </si>
  <si>
    <t>XS3293111806</t>
  </si>
  <si>
    <t>עופר פלג</t>
  </si>
  <si>
    <t xml:space="preserve">פועלים </t>
  </si>
  <si>
    <t>טרם התקבל Term Sheet</t>
  </si>
  <si>
    <t>קרן מגן ישראל</t>
  </si>
  <si>
    <t>עינת אסתר רוזנברג</t>
  </si>
  <si>
    <t>רנית רוזית פינק אייזקס</t>
  </si>
  <si>
    <t>ווינהלפ בע"מ</t>
  </si>
  <si>
    <t>עידן בקי</t>
  </si>
  <si>
    <t>XS3293209527</t>
  </si>
  <si>
    <t>נועה שדה - למי נכנס בסוף ?</t>
  </si>
  <si>
    <t>תאטראות ישראל בע"מ</t>
  </si>
  <si>
    <t>קרדיוליין בע"מ (הלנה טננבאום)</t>
  </si>
  <si>
    <t>רסטצר אירית ועופר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</si>
</sst>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(* #,##0.00_);_(* \(#,##0.00\);_(* &quot;-&quot;??_);_(@_)"/>
  </numFmts>
  <fonts count="14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b/>
      <sz val="10"/>
      <name val="Avenir Next"/>
    </font>
    <font>
      <u/>
      <sz val="11"/>
      <color theme="10"/>
      <name val="Arial"/>
      <family val="2"/>
      <scheme val="minor"/>
    </font>
    <font>
      <sz val="12"/>
      <color theme="1"/>
      <name val="Aptos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name val="Arial"/>
      <family val="2"/>
      <scheme val="minor"/>
    </font>
    <font>
      <b/>
      <sz val="10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sz val="10"/>
      <color rgb="FFFF0000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66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5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95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3" fillId="0" borderId="2" xfId="0" applyFont="1" applyBorder="1"/>
    <xf numFmtId="0" fontId="0" fillId="0" borderId="2" xfId="0" applyBorder="1"/>
    <xf numFmtId="3" fontId="0" fillId="0" borderId="2" xfId="0" applyNumberFormat="1" applyBorder="1"/>
    <xf numFmtId="0" fontId="0" fillId="9" borderId="2" xfId="0" applyFill="1" applyBorder="1"/>
    <xf numFmtId="0" fontId="0" fillId="0" borderId="37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3" fontId="0" fillId="3" borderId="2" xfId="0" applyNumberFormat="1" applyFill="1" applyBorder="1"/>
    <xf numFmtId="0" fontId="0" fillId="9" borderId="36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3" fontId="0" fillId="9" borderId="2" xfId="0" applyNumberFormat="1" applyFill="1" applyBorder="1"/>
    <xf numFmtId="0" fontId="0" fillId="9" borderId="37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37" xfId="0" applyFill="1" applyBorder="1" applyAlignment="1">
      <alignment horizontal="center"/>
    </xf>
    <xf numFmtId="0" fontId="0" fillId="10" borderId="2" xfId="0" applyFill="1" applyBorder="1"/>
    <xf numFmtId="3" fontId="0" fillId="10" borderId="2" xfId="0" applyNumberFormat="1" applyFill="1" applyBorder="1"/>
    <xf numFmtId="3" fontId="0" fillId="9" borderId="7" xfId="0" applyNumberFormat="1" applyFill="1" applyBorder="1"/>
    <xf numFmtId="3" fontId="0" fillId="10" borderId="11" xfId="0" applyNumberFormat="1" applyFill="1" applyBorder="1"/>
    <xf numFmtId="3" fontId="0" fillId="3" borderId="11" xfId="0" applyNumberFormat="1" applyFill="1" applyBorder="1"/>
    <xf numFmtId="3" fontId="0" fillId="9" borderId="11" xfId="0" applyNumberFormat="1" applyFill="1" applyBorder="1"/>
    <xf numFmtId="3" fontId="0" fillId="11" borderId="11" xfId="0" applyNumberFormat="1" applyFill="1" applyBorder="1"/>
    <xf numFmtId="3" fontId="0" fillId="0" borderId="11" xfId="0" applyNumberFormat="1" applyBorder="1"/>
    <xf numFmtId="3" fontId="0" fillId="9" borderId="12" xfId="0" applyNumberFormat="1" applyFill="1" applyBorder="1"/>
    <xf numFmtId="0" fontId="4" fillId="0" borderId="0" xfId="2"/>
    <xf numFmtId="10" fontId="5" fillId="0" borderId="0" xfId="0" applyNumberFormat="1" applyFont="1"/>
    <xf numFmtId="9" fontId="5" fillId="0" borderId="0" xfId="0" applyNumberFormat="1" applyFont="1"/>
    <xf numFmtId="164" fontId="6" fillId="2" borderId="1" xfId="1" applyNumberFormat="1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164" fontId="7" fillId="2" borderId="2" xfId="1" applyNumberFormat="1" applyFont="1" applyFill="1" applyBorder="1" applyAlignment="1">
      <alignment horizontal="center" vertical="center"/>
    </xf>
    <xf numFmtId="0" fontId="7" fillId="0" borderId="0" xfId="0" applyFont="1"/>
    <xf numFmtId="164" fontId="7" fillId="0" borderId="2" xfId="1" applyNumberFormat="1" applyFont="1" applyBorder="1"/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164" fontId="7" fillId="0" borderId="2" xfId="1" applyNumberFormat="1" applyFont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164" fontId="7" fillId="3" borderId="2" xfId="1" applyNumberFormat="1" applyFont="1" applyFill="1" applyBorder="1" applyAlignment="1">
      <alignment horizontal="center" vertical="center"/>
    </xf>
    <xf numFmtId="164" fontId="7" fillId="3" borderId="2" xfId="1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64" fontId="7" fillId="0" borderId="4" xfId="1" applyNumberFormat="1" applyFont="1" applyBorder="1"/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64" fontId="7" fillId="0" borderId="5" xfId="1" applyNumberFormat="1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164" fontId="7" fillId="0" borderId="8" xfId="1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164" fontId="7" fillId="0" borderId="13" xfId="1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164" fontId="7" fillId="0" borderId="0" xfId="1" applyNumberFormat="1" applyFont="1"/>
    <xf numFmtId="0" fontId="7" fillId="0" borderId="0" xfId="0" applyFont="1" applyAlignment="1">
      <alignment horizontal="center"/>
    </xf>
    <xf numFmtId="164" fontId="7" fillId="0" borderId="0" xfId="1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8" xfId="0" applyFont="1" applyFill="1" applyBorder="1" applyAlignment="1">
      <alignment horizontal="center"/>
    </xf>
    <xf numFmtId="164" fontId="6" fillId="4" borderId="2" xfId="1" applyNumberFormat="1" applyFont="1" applyFill="1" applyBorder="1" applyAlignment="1">
      <alignment horizontal="center" vertical="center"/>
    </xf>
    <xf numFmtId="164" fontId="7" fillId="0" borderId="9" xfId="1" applyNumberFormat="1" applyFont="1" applyBorder="1"/>
    <xf numFmtId="164" fontId="7" fillId="4" borderId="0" xfId="1" applyNumberFormat="1" applyFont="1" applyFill="1"/>
    <xf numFmtId="164" fontId="7" fillId="0" borderId="15" xfId="1" applyNumberFormat="1" applyFont="1" applyBorder="1"/>
    <xf numFmtId="0" fontId="8" fillId="0" borderId="2" xfId="0" applyFont="1" applyBorder="1" applyAlignment="1">
      <alignment horizontal="center" vertical="center" readingOrder="2"/>
    </xf>
    <xf numFmtId="0" fontId="7" fillId="4" borderId="2" xfId="0" applyFont="1" applyFill="1" applyBorder="1" applyAlignment="1">
      <alignment horizontal="center"/>
    </xf>
    <xf numFmtId="164" fontId="7" fillId="0" borderId="5" xfId="1" applyNumberFormat="1" applyFont="1" applyBorder="1"/>
    <xf numFmtId="0" fontId="7" fillId="0" borderId="2" xfId="0" applyFont="1" applyBorder="1"/>
    <xf numFmtId="0" fontId="7" fillId="0" borderId="8" xfId="0" applyFont="1" applyBorder="1"/>
    <xf numFmtId="0" fontId="7" fillId="0" borderId="9" xfId="0" applyFont="1" applyBorder="1" applyAlignment="1">
      <alignment horizontal="center"/>
    </xf>
    <xf numFmtId="0" fontId="7" fillId="0" borderId="9" xfId="0" applyFont="1" applyBorder="1"/>
    <xf numFmtId="0" fontId="7" fillId="0" borderId="13" xfId="0" applyFont="1" applyBorder="1"/>
    <xf numFmtId="164" fontId="7" fillId="4" borderId="2" xfId="1" applyNumberFormat="1" applyFont="1" applyFill="1" applyBorder="1" applyAlignment="1">
      <alignment horizontal="center" vertical="center"/>
    </xf>
    <xf numFmtId="164" fontId="7" fillId="0" borderId="28" xfId="1" applyNumberFormat="1" applyFont="1" applyBorder="1" applyAlignment="1">
      <alignment horizontal="center" vertical="center"/>
    </xf>
    <xf numFmtId="164" fontId="7" fillId="5" borderId="21" xfId="1" applyNumberFormat="1" applyFont="1" applyFill="1" applyBorder="1" applyAlignment="1">
      <alignment horizontal="center" vertical="center"/>
    </xf>
    <xf numFmtId="164" fontId="7" fillId="5" borderId="16" xfId="1" applyNumberFormat="1" applyFont="1" applyFill="1" applyBorder="1" applyAlignment="1">
      <alignment horizontal="center" vertical="center"/>
    </xf>
    <xf numFmtId="164" fontId="7" fillId="4" borderId="16" xfId="1" applyNumberFormat="1" applyFont="1" applyFill="1" applyBorder="1" applyAlignment="1">
      <alignment horizontal="center" vertical="center"/>
    </xf>
    <xf numFmtId="164" fontId="7" fillId="0" borderId="0" xfId="1" applyNumberFormat="1" applyFont="1" applyAlignment="1">
      <alignment vertical="center"/>
    </xf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164" fontId="7" fillId="0" borderId="9" xfId="1" applyNumberFormat="1" applyFont="1" applyBorder="1" applyAlignment="1">
      <alignment horizontal="center" vertical="center"/>
    </xf>
    <xf numFmtId="0" fontId="7" fillId="0" borderId="20" xfId="0" applyFont="1" applyBorder="1" applyAlignment="1">
      <alignment horizontal="center"/>
    </xf>
    <xf numFmtId="164" fontId="7" fillId="4" borderId="25" xfId="1" applyNumberFormat="1" applyFont="1" applyFill="1" applyBorder="1" applyAlignment="1">
      <alignment horizontal="center" vertical="center"/>
    </xf>
    <xf numFmtId="164" fontId="7" fillId="4" borderId="29" xfId="1" applyNumberFormat="1" applyFont="1" applyFill="1" applyBorder="1" applyAlignment="1">
      <alignment horizontal="center" vertical="center"/>
    </xf>
    <xf numFmtId="164" fontId="7" fillId="4" borderId="27" xfId="1" applyNumberFormat="1" applyFont="1" applyFill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6" borderId="0" xfId="0" applyFont="1" applyFill="1" applyAlignment="1">
      <alignment horizontal="center"/>
    </xf>
    <xf numFmtId="14" fontId="7" fillId="7" borderId="0" xfId="1" applyNumberFormat="1" applyFont="1" applyFill="1"/>
    <xf numFmtId="0" fontId="7" fillId="0" borderId="30" xfId="0" applyFont="1" applyBorder="1" applyAlignment="1">
      <alignment horizontal="center"/>
    </xf>
    <xf numFmtId="0" fontId="7" fillId="0" borderId="20" xfId="0" applyFont="1" applyBorder="1"/>
    <xf numFmtId="164" fontId="7" fillId="0" borderId="20" xfId="1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right"/>
    </xf>
    <xf numFmtId="0" fontId="7" fillId="0" borderId="2" xfId="0" applyFont="1" applyBorder="1" applyAlignment="1">
      <alignment horizontal="right"/>
    </xf>
    <xf numFmtId="164" fontId="7" fillId="5" borderId="9" xfId="1" applyNumberFormat="1" applyFont="1" applyFill="1" applyBorder="1" applyAlignment="1">
      <alignment horizontal="center" vertical="center"/>
    </xf>
    <xf numFmtId="164" fontId="7" fillId="4" borderId="24" xfId="1" applyNumberFormat="1" applyFont="1" applyFill="1" applyBorder="1"/>
    <xf numFmtId="0" fontId="7" fillId="0" borderId="10" xfId="0" applyFont="1" applyBorder="1"/>
    <xf numFmtId="164" fontId="7" fillId="0" borderId="36" xfId="1" applyNumberFormat="1" applyFont="1" applyBorder="1" applyAlignment="1">
      <alignment horizontal="center" vertical="center"/>
    </xf>
    <xf numFmtId="0" fontId="7" fillId="0" borderId="33" xfId="0" applyFont="1" applyBorder="1" applyAlignment="1">
      <alignment horizontal="center"/>
    </xf>
    <xf numFmtId="164" fontId="7" fillId="4" borderId="25" xfId="1" applyNumberFormat="1" applyFont="1" applyFill="1" applyBorder="1"/>
    <xf numFmtId="0" fontId="7" fillId="0" borderId="11" xfId="0" applyFont="1" applyBorder="1" applyAlignment="1">
      <alignment horizontal="center"/>
    </xf>
    <xf numFmtId="0" fontId="7" fillId="0" borderId="3" xfId="0" applyFont="1" applyBorder="1"/>
    <xf numFmtId="164" fontId="7" fillId="0" borderId="37" xfId="1" applyNumberFormat="1" applyFont="1" applyBorder="1" applyAlignment="1">
      <alignment horizontal="center" vertical="center"/>
    </xf>
    <xf numFmtId="0" fontId="7" fillId="0" borderId="34" xfId="0" applyFont="1" applyBorder="1" applyAlignment="1">
      <alignment horizontal="center"/>
    </xf>
    <xf numFmtId="0" fontId="7" fillId="0" borderId="3" xfId="0" applyFont="1" applyBorder="1" applyAlignment="1">
      <alignment horizontal="right"/>
    </xf>
    <xf numFmtId="164" fontId="7" fillId="4" borderId="25" xfId="1" applyNumberFormat="1" applyFont="1" applyFill="1" applyBorder="1" applyAlignment="1">
      <alignment horizontal="center"/>
    </xf>
    <xf numFmtId="164" fontId="7" fillId="4" borderId="21" xfId="1" applyNumberFormat="1" applyFont="1" applyFill="1" applyBorder="1"/>
    <xf numFmtId="0" fontId="7" fillId="0" borderId="31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7" fillId="0" borderId="14" xfId="0" applyFont="1" applyBorder="1"/>
    <xf numFmtId="164" fontId="7" fillId="0" borderId="38" xfId="1" applyNumberFormat="1" applyFont="1" applyBorder="1" applyAlignment="1">
      <alignment horizontal="center" vertical="center"/>
    </xf>
    <xf numFmtId="0" fontId="7" fillId="0" borderId="35" xfId="0" applyFont="1" applyBorder="1" applyAlignment="1">
      <alignment horizontal="center"/>
    </xf>
    <xf numFmtId="164" fontId="7" fillId="5" borderId="5" xfId="1" applyNumberFormat="1" applyFont="1" applyFill="1" applyBorder="1" applyAlignment="1">
      <alignment horizontal="center" vertical="center"/>
    </xf>
    <xf numFmtId="164" fontId="7" fillId="0" borderId="3" xfId="1" applyNumberFormat="1" applyFont="1" applyBorder="1" applyAlignment="1">
      <alignment horizontal="center" vertical="center"/>
    </xf>
    <xf numFmtId="164" fontId="7" fillId="0" borderId="14" xfId="1" applyNumberFormat="1" applyFont="1" applyBorder="1" applyAlignment="1">
      <alignment horizontal="center" vertical="center"/>
    </xf>
    <xf numFmtId="164" fontId="7" fillId="5" borderId="15" xfId="1" applyNumberFormat="1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/>
    </xf>
    <xf numFmtId="164" fontId="9" fillId="0" borderId="37" xfId="1" applyNumberFormat="1" applyFont="1" applyBorder="1" applyAlignment="1">
      <alignment horizontal="center" vertical="center"/>
    </xf>
    <xf numFmtId="164" fontId="7" fillId="4" borderId="39" xfId="1" applyNumberFormat="1" applyFont="1" applyFill="1" applyBorder="1" applyAlignment="1">
      <alignment horizontal="center"/>
    </xf>
    <xf numFmtId="0" fontId="7" fillId="0" borderId="10" xfId="0" applyFont="1" applyBorder="1" applyAlignment="1">
      <alignment horizontal="right"/>
    </xf>
    <xf numFmtId="164" fontId="7" fillId="4" borderId="39" xfId="1" applyNumberFormat="1" applyFont="1" applyFill="1" applyBorder="1" applyAlignment="1">
      <alignment horizontal="center" vertical="center"/>
    </xf>
    <xf numFmtId="164" fontId="7" fillId="8" borderId="5" xfId="1" applyNumberFormat="1" applyFont="1" applyFill="1" applyBorder="1" applyAlignment="1">
      <alignment horizontal="center" vertical="center"/>
    </xf>
    <xf numFmtId="164" fontId="7" fillId="4" borderId="36" xfId="1" applyNumberFormat="1" applyFont="1" applyFill="1" applyBorder="1" applyAlignment="1">
      <alignment horizontal="center" vertical="center"/>
    </xf>
    <xf numFmtId="164" fontId="7" fillId="4" borderId="37" xfId="1" applyNumberFormat="1" applyFont="1" applyFill="1" applyBorder="1" applyAlignment="1">
      <alignment horizontal="center" vertical="center"/>
    </xf>
    <xf numFmtId="164" fontId="9" fillId="4" borderId="37" xfId="1" applyNumberFormat="1" applyFont="1" applyFill="1" applyBorder="1" applyAlignment="1">
      <alignment horizontal="center" vertical="center"/>
    </xf>
    <xf numFmtId="0" fontId="7" fillId="0" borderId="40" xfId="0" applyFont="1" applyBorder="1" applyAlignment="1">
      <alignment horizontal="center"/>
    </xf>
    <xf numFmtId="0" fontId="7" fillId="0" borderId="41" xfId="0" applyFont="1" applyBorder="1"/>
    <xf numFmtId="164" fontId="7" fillId="0" borderId="42" xfId="1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center"/>
    </xf>
    <xf numFmtId="164" fontId="7" fillId="4" borderId="2" xfId="1" applyNumberFormat="1" applyFont="1" applyFill="1" applyBorder="1"/>
    <xf numFmtId="164" fontId="7" fillId="4" borderId="33" xfId="1" applyNumberFormat="1" applyFont="1" applyFill="1" applyBorder="1" applyAlignment="1">
      <alignment horizontal="center" vertical="center"/>
    </xf>
    <xf numFmtId="164" fontId="7" fillId="4" borderId="2" xfId="1" applyNumberFormat="1" applyFont="1" applyFill="1" applyBorder="1" applyAlignment="1">
      <alignment horizontal="center" vertical="top"/>
    </xf>
    <xf numFmtId="164" fontId="9" fillId="5" borderId="2" xfId="1" applyNumberFormat="1" applyFont="1" applyFill="1" applyBorder="1" applyAlignment="1">
      <alignment horizontal="center" vertical="center"/>
    </xf>
    <xf numFmtId="164" fontId="7" fillId="5" borderId="2" xfId="1" applyNumberFormat="1" applyFont="1" applyFill="1" applyBorder="1" applyAlignment="1">
      <alignment horizontal="center" vertical="center"/>
    </xf>
    <xf numFmtId="164" fontId="7" fillId="4" borderId="24" xfId="1" applyNumberFormat="1" applyFont="1" applyFill="1" applyBorder="1" applyAlignment="1">
      <alignment horizontal="center"/>
    </xf>
    <xf numFmtId="3" fontId="7" fillId="0" borderId="2" xfId="0" applyNumberFormat="1" applyFont="1" applyBorder="1"/>
    <xf numFmtId="0" fontId="7" fillId="0" borderId="43" xfId="0" applyFont="1" applyBorder="1" applyAlignment="1">
      <alignment horizontal="center"/>
    </xf>
    <xf numFmtId="0" fontId="7" fillId="0" borderId="46" xfId="0" applyFont="1" applyBorder="1" applyAlignment="1">
      <alignment horizontal="center"/>
    </xf>
    <xf numFmtId="164" fontId="7" fillId="4" borderId="0" xfId="1" applyNumberFormat="1" applyFont="1" applyFill="1" applyBorder="1" applyAlignment="1">
      <alignment horizontal="center"/>
    </xf>
    <xf numFmtId="0" fontId="7" fillId="0" borderId="44" xfId="0" applyFont="1" applyBorder="1" applyAlignment="1">
      <alignment horizontal="center"/>
    </xf>
    <xf numFmtId="164" fontId="7" fillId="4" borderId="45" xfId="1" applyNumberFormat="1" applyFont="1" applyFill="1" applyBorder="1" applyAlignment="1">
      <alignment horizontal="center"/>
    </xf>
    <xf numFmtId="0" fontId="7" fillId="12" borderId="2" xfId="0" applyFont="1" applyFill="1" applyBorder="1"/>
    <xf numFmtId="164" fontId="7" fillId="5" borderId="2" xfId="0" applyNumberFormat="1" applyFont="1" applyFill="1" applyBorder="1"/>
    <xf numFmtId="164" fontId="7" fillId="4" borderId="0" xfId="1" applyNumberFormat="1" applyFont="1" applyFill="1" applyAlignment="1">
      <alignment horizontal="center"/>
    </xf>
    <xf numFmtId="164" fontId="7" fillId="4" borderId="47" xfId="1" applyNumberFormat="1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right"/>
    </xf>
    <xf numFmtId="0" fontId="7" fillId="0" borderId="3" xfId="0" applyFont="1" applyBorder="1" applyAlignment="1">
      <alignment horizontal="right" vertical="center"/>
    </xf>
    <xf numFmtId="0" fontId="7" fillId="0" borderId="6" xfId="0" applyFont="1" applyBorder="1" applyAlignment="1">
      <alignment horizontal="right"/>
    </xf>
    <xf numFmtId="0" fontId="7" fillId="0" borderId="14" xfId="0" applyFont="1" applyBorder="1" applyAlignment="1">
      <alignment horizontal="right"/>
    </xf>
    <xf numFmtId="0" fontId="7" fillId="0" borderId="0" xfId="0" applyFont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7" fillId="0" borderId="20" xfId="0" applyFont="1" applyBorder="1" applyAlignment="1">
      <alignment horizontal="right"/>
    </xf>
    <xf numFmtId="0" fontId="7" fillId="0" borderId="32" xfId="0" applyFont="1" applyBorder="1" applyAlignment="1">
      <alignment horizontal="right"/>
    </xf>
    <xf numFmtId="0" fontId="7" fillId="4" borderId="2" xfId="0" applyFont="1" applyFill="1" applyBorder="1" applyAlignment="1">
      <alignment horizontal="right"/>
    </xf>
    <xf numFmtId="0" fontId="10" fillId="3" borderId="2" xfId="0" applyFont="1" applyFill="1" applyBorder="1" applyAlignment="1">
      <alignment horizontal="right"/>
    </xf>
    <xf numFmtId="0" fontId="9" fillId="3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right"/>
    </xf>
    <xf numFmtId="0" fontId="7" fillId="0" borderId="16" xfId="0" applyFont="1" applyBorder="1" applyAlignment="1">
      <alignment horizontal="center"/>
    </xf>
    <xf numFmtId="3" fontId="7" fillId="9" borderId="2" xfId="0" applyNumberFormat="1" applyFont="1" applyFill="1" applyBorder="1"/>
    <xf numFmtId="0" fontId="11" fillId="0" borderId="0" xfId="0" applyFont="1" applyAlignment="1">
      <alignment horizontal="center"/>
    </xf>
    <xf numFmtId="3" fontId="0" fillId="9" borderId="2" xfId="0" applyNumberFormat="1" applyFill="1" applyBorder="1" applyAlignment="1">
      <alignment horizontal="center"/>
    </xf>
    <xf numFmtId="0" fontId="0" fillId="0" borderId="9" xfId="0" applyBorder="1"/>
    <xf numFmtId="0" fontId="10" fillId="3" borderId="9" xfId="0" applyFont="1" applyFill="1" applyBorder="1" applyAlignment="1">
      <alignment horizontal="right"/>
    </xf>
    <xf numFmtId="164" fontId="7" fillId="4" borderId="2" xfId="1" applyNumberFormat="1" applyFont="1" applyFill="1" applyBorder="1" applyAlignment="1">
      <alignment horizontal="center"/>
    </xf>
    <xf numFmtId="3" fontId="0" fillId="3" borderId="9" xfId="0" applyNumberFormat="1" applyFill="1" applyBorder="1"/>
    <xf numFmtId="0" fontId="7" fillId="3" borderId="48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7" fillId="3" borderId="9" xfId="0" applyFont="1" applyFill="1" applyBorder="1"/>
    <xf numFmtId="3" fontId="7" fillId="3" borderId="9" xfId="0" applyNumberFormat="1" applyFont="1" applyFill="1" applyBorder="1"/>
    <xf numFmtId="0" fontId="7" fillId="3" borderId="2" xfId="0" applyFont="1" applyFill="1" applyBorder="1"/>
    <xf numFmtId="3" fontId="7" fillId="3" borderId="2" xfId="0" applyNumberFormat="1" applyFont="1" applyFill="1" applyBorder="1"/>
    <xf numFmtId="164" fontId="7" fillId="5" borderId="15" xfId="0" applyNumberFormat="1" applyFont="1" applyFill="1" applyBorder="1"/>
    <xf numFmtId="14" fontId="7" fillId="7" borderId="2" xfId="1" applyNumberFormat="1" applyFont="1" applyFill="1" applyBorder="1"/>
    <xf numFmtId="164" fontId="1" fillId="4" borderId="9" xfId="1" applyNumberFormat="1" applyFont="1" applyFill="1" applyBorder="1" applyAlignment="1">
      <alignment horizontal="center" vertical="center"/>
    </xf>
    <xf numFmtId="164" fontId="1" fillId="4" borderId="5" xfId="1" applyNumberFormat="1" applyFont="1" applyFill="1" applyBorder="1" applyAlignment="1">
      <alignment horizontal="center" vertical="center"/>
    </xf>
    <xf numFmtId="164" fontId="1" fillId="4" borderId="15" xfId="1" applyNumberFormat="1" applyFont="1" applyFill="1" applyBorder="1" applyAlignment="1">
      <alignment horizontal="center" vertical="center"/>
    </xf>
    <xf numFmtId="164" fontId="1" fillId="4" borderId="4" xfId="1" applyNumberFormat="1" applyFont="1" applyFill="1" applyBorder="1" applyAlignment="1">
      <alignment horizontal="center" vertical="center"/>
    </xf>
    <xf numFmtId="164" fontId="0" fillId="5" borderId="5" xfId="1" applyNumberFormat="1" applyFont="1" applyFill="1" applyBorder="1" applyAlignment="1">
      <alignment horizontal="center" vertical="center"/>
    </xf>
    <xf numFmtId="164" fontId="0" fillId="4" borderId="16" xfId="1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4" fontId="7" fillId="7" borderId="2" xfId="1" applyNumberFormat="1" applyFont="1" applyFill="1" applyBorder="1" applyAlignment="1">
      <alignment horizontal="center"/>
    </xf>
    <xf numFmtId="164" fontId="7" fillId="5" borderId="5" xfId="0" applyNumberFormat="1" applyFont="1" applyFill="1" applyBorder="1"/>
    <xf numFmtId="0" fontId="7" fillId="2" borderId="2" xfId="0" applyFont="1" applyFill="1" applyBorder="1" applyAlignment="1">
      <alignment horizontal="center" vertical="center"/>
    </xf>
    <xf numFmtId="0" fontId="7" fillId="2" borderId="0" xfId="0" applyFont="1" applyFill="1"/>
    <xf numFmtId="164" fontId="7" fillId="2" borderId="27" xfId="1" applyNumberFormat="1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right"/>
    </xf>
    <xf numFmtId="0" fontId="7" fillId="2" borderId="13" xfId="0" applyFont="1" applyFill="1" applyBorder="1"/>
    <xf numFmtId="164" fontId="7" fillId="2" borderId="13" xfId="1" applyNumberFormat="1" applyFont="1" applyFill="1" applyBorder="1" applyAlignment="1">
      <alignment horizontal="center" vertical="center"/>
    </xf>
    <xf numFmtId="164" fontId="7" fillId="0" borderId="2" xfId="1" applyNumberFormat="1" applyFont="1" applyFill="1" applyBorder="1" applyAlignment="1">
      <alignment horizontal="center" vertical="center"/>
    </xf>
    <xf numFmtId="164" fontId="7" fillId="0" borderId="2" xfId="1" applyNumberFormat="1" applyFont="1" applyFill="1" applyBorder="1"/>
    <xf numFmtId="164" fontId="7" fillId="2" borderId="50" xfId="0" applyNumberFormat="1" applyFont="1" applyFill="1" applyBorder="1"/>
    <xf numFmtId="0" fontId="7" fillId="0" borderId="15" xfId="0" applyFont="1" applyBorder="1" applyAlignment="1">
      <alignment horizontal="center"/>
    </xf>
    <xf numFmtId="0" fontId="7" fillId="0" borderId="1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/>
    </xf>
    <xf numFmtId="14" fontId="7" fillId="0" borderId="2" xfId="0" applyNumberFormat="1" applyFont="1" applyBorder="1" applyAlignment="1">
      <alignment horizontal="center" vertical="center"/>
    </xf>
    <xf numFmtId="14" fontId="7" fillId="0" borderId="5" xfId="0" applyNumberFormat="1" applyFont="1" applyBorder="1" applyAlignment="1">
      <alignment horizontal="center"/>
    </xf>
    <xf numFmtId="14" fontId="7" fillId="0" borderId="8" xfId="0" applyNumberFormat="1" applyFont="1" applyBorder="1" applyAlignment="1">
      <alignment horizontal="center"/>
    </xf>
    <xf numFmtId="14" fontId="7" fillId="0" borderId="13" xfId="0" applyNumberFormat="1" applyFont="1" applyBorder="1" applyAlignment="1">
      <alignment horizontal="center"/>
    </xf>
    <xf numFmtId="14" fontId="7" fillId="0" borderId="0" xfId="0" applyNumberFormat="1" applyFont="1" applyAlignment="1">
      <alignment horizontal="center"/>
    </xf>
    <xf numFmtId="14" fontId="7" fillId="0" borderId="2" xfId="0" applyNumberFormat="1" applyFont="1" applyBorder="1"/>
    <xf numFmtId="14" fontId="7" fillId="0" borderId="0" xfId="0" applyNumberFormat="1" applyFont="1"/>
    <xf numFmtId="0" fontId="7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7" fillId="0" borderId="49" xfId="0" applyFont="1" applyBorder="1" applyAlignment="1">
      <alignment horizontal="center"/>
    </xf>
    <xf numFmtId="14" fontId="7" fillId="0" borderId="3" xfId="0" applyNumberFormat="1" applyFont="1" applyBorder="1"/>
    <xf numFmtId="14" fontId="7" fillId="3" borderId="2" xfId="0" applyNumberFormat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 vertical="center"/>
    </xf>
    <xf numFmtId="0" fontId="0" fillId="12" borderId="2" xfId="0" applyFill="1" applyBorder="1"/>
    <xf numFmtId="3" fontId="0" fillId="12" borderId="2" xfId="0" applyNumberFormat="1" applyFill="1" applyBorder="1"/>
    <xf numFmtId="0" fontId="7" fillId="3" borderId="51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4" fontId="7" fillId="3" borderId="3" xfId="0" applyNumberFormat="1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10" fillId="13" borderId="2" xfId="0" applyFont="1" applyFill="1" applyBorder="1" applyAlignment="1">
      <alignment horizontal="right"/>
    </xf>
    <xf numFmtId="0" fontId="0" fillId="13" borderId="2" xfId="0" applyFill="1" applyBorder="1"/>
    <xf numFmtId="0" fontId="0" fillId="13" borderId="3" xfId="0" applyFill="1" applyBorder="1" applyAlignment="1">
      <alignment horizontal="center"/>
    </xf>
    <xf numFmtId="3" fontId="11" fillId="13" borderId="2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right"/>
    </xf>
    <xf numFmtId="14" fontId="7" fillId="0" borderId="15" xfId="0" applyNumberFormat="1" applyFont="1" applyBorder="1" applyAlignment="1">
      <alignment horizontal="center"/>
    </xf>
    <xf numFmtId="14" fontId="7" fillId="0" borderId="9" xfId="0" applyNumberFormat="1" applyFont="1" applyBorder="1" applyAlignment="1">
      <alignment horizontal="center"/>
    </xf>
    <xf numFmtId="14" fontId="7" fillId="0" borderId="3" xfId="0" applyNumberFormat="1" applyFont="1" applyBorder="1" applyAlignment="1">
      <alignment horizontal="center"/>
    </xf>
    <xf numFmtId="0" fontId="7" fillId="0" borderId="1" xfId="0" applyFont="1" applyBorder="1"/>
    <xf numFmtId="164" fontId="13" fillId="0" borderId="2" xfId="1" applyNumberFormat="1" applyFont="1" applyBorder="1" applyAlignment="1">
      <alignment horizontal="center" vertical="center"/>
    </xf>
    <xf numFmtId="164" fontId="13" fillId="0" borderId="8" xfId="1" applyNumberFormat="1" applyFont="1" applyBorder="1" applyAlignment="1">
      <alignment horizontal="center" vertical="center"/>
    </xf>
    <xf numFmtId="164" fontId="0" fillId="4" borderId="9" xfId="1" applyNumberFormat="1" applyFont="1" applyFill="1" applyBorder="1" applyAlignment="1">
      <alignment horizontal="center" vertical="center"/>
    </xf>
    <xf numFmtId="164" fontId="0" fillId="4" borderId="5" xfId="1" applyNumberFormat="1" applyFont="1" applyFill="1" applyBorder="1" applyAlignment="1">
      <alignment horizontal="center" vertical="center"/>
    </xf>
    <xf numFmtId="164" fontId="0" fillId="4" borderId="4" xfId="1" applyNumberFormat="1" applyFont="1" applyFill="1" applyBorder="1" applyAlignment="1">
      <alignment horizontal="center" vertical="center"/>
    </xf>
    <xf numFmtId="0" fontId="0" fillId="3" borderId="3" xfId="0" applyFill="1" applyBorder="1"/>
    <xf numFmtId="14" fontId="7" fillId="0" borderId="2" xfId="1" applyNumberFormat="1" applyFont="1" applyFill="1" applyBorder="1"/>
    <xf numFmtId="164" fontId="7" fillId="4" borderId="1" xfId="1" applyNumberFormat="1" applyFont="1" applyFill="1" applyBorder="1" applyAlignment="1">
      <alignment horizontal="center"/>
    </xf>
    <xf numFmtId="3" fontId="0" fillId="3" borderId="1" xfId="0" applyNumberFormat="1" applyFill="1" applyBorder="1"/>
    <xf numFmtId="164" fontId="6" fillId="2" borderId="50" xfId="0" applyNumberFormat="1" applyFont="1" applyFill="1" applyBorder="1"/>
    <xf numFmtId="0" fontId="10" fillId="0" borderId="2" xfId="0" applyFont="1" applyBorder="1" applyAlignment="1">
      <alignment horizontal="right"/>
    </xf>
    <xf numFmtId="0" fontId="0" fillId="0" borderId="3" xfId="0" applyBorder="1"/>
    <xf numFmtId="0" fontId="0" fillId="0" borderId="5" xfId="0" applyBorder="1" applyAlignment="1">
      <alignment horizontal="right"/>
    </xf>
    <xf numFmtId="14" fontId="7" fillId="0" borderId="2" xfId="1" applyNumberFormat="1" applyFont="1" applyFill="1" applyBorder="1" applyAlignment="1">
      <alignment horizontal="center"/>
    </xf>
    <xf numFmtId="0" fontId="0" fillId="0" borderId="2" xfId="0" applyBorder="1" applyAlignment="1">
      <alignment horizontal="right"/>
    </xf>
    <xf numFmtId="164" fontId="0" fillId="4" borderId="15" xfId="1" applyNumberFormat="1" applyFont="1" applyFill="1" applyBorder="1" applyAlignment="1">
      <alignment horizontal="center" vertical="center"/>
    </xf>
    <xf numFmtId="164" fontId="1" fillId="4" borderId="0" xfId="1" applyNumberFormat="1" applyFont="1" applyFill="1" applyAlignment="1">
      <alignment horizontal="center"/>
    </xf>
    <xf numFmtId="14" fontId="1" fillId="7" borderId="2" xfId="1" applyNumberFormat="1" applyFont="1" applyFill="1" applyBorder="1"/>
    <xf numFmtId="14" fontId="1" fillId="7" borderId="2" xfId="1" applyNumberFormat="1" applyFont="1" applyFill="1" applyBorder="1" applyAlignment="1">
      <alignment horizontal="center"/>
    </xf>
    <xf numFmtId="2" fontId="7" fillId="0" borderId="0" xfId="0" applyNumberFormat="1" applyFont="1"/>
    <xf numFmtId="14" fontId="0" fillId="7" borderId="2" xfId="1" applyNumberFormat="1" applyFont="1" applyFill="1" applyBorder="1"/>
    <xf numFmtId="14" fontId="0" fillId="7" borderId="2" xfId="1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7" fillId="0" borderId="2" xfId="1" applyNumberFormat="1" applyFont="1" applyBorder="1"/>
    <xf numFmtId="164" fontId="0" fillId="4" borderId="6" xfId="1" applyNumberFormat="1" applyFont="1" applyFill="1" applyBorder="1" applyAlignment="1">
      <alignment horizontal="center" vertical="center"/>
    </xf>
    <xf numFmtId="14" fontId="11" fillId="4" borderId="2" xfId="1" applyNumberFormat="1" applyFont="1" applyFill="1" applyBorder="1" applyAlignment="1">
      <alignment horizontal="center"/>
    </xf>
    <xf numFmtId="0" fontId="6" fillId="0" borderId="0" xfId="0" applyFont="1"/>
    <xf numFmtId="164" fontId="7" fillId="0" borderId="0" xfId="0" applyNumberFormat="1" applyFont="1" applyAlignment="1">
      <alignment horizontal="center"/>
    </xf>
    <xf numFmtId="164" fontId="7" fillId="0" borderId="0" xfId="0" applyNumberFormat="1" applyFont="1"/>
    <xf numFmtId="0" fontId="7" fillId="14" borderId="46" xfId="0" applyFont="1" applyFill="1" applyBorder="1" applyAlignment="1">
      <alignment horizontal="center"/>
    </xf>
    <xf numFmtId="0" fontId="7" fillId="14" borderId="2" xfId="0" applyFont="1" applyFill="1" applyBorder="1" applyAlignment="1">
      <alignment horizontal="center"/>
    </xf>
    <xf numFmtId="0" fontId="7" fillId="14" borderId="2" xfId="0" applyFont="1" applyFill="1" applyBorder="1" applyAlignment="1">
      <alignment horizontal="right"/>
    </xf>
    <xf numFmtId="0" fontId="7" fillId="14" borderId="2" xfId="0" applyFont="1" applyFill="1" applyBorder="1"/>
    <xf numFmtId="3" fontId="7" fillId="14" borderId="2" xfId="0" applyNumberFormat="1" applyFont="1" applyFill="1" applyBorder="1"/>
    <xf numFmtId="0" fontId="7" fillId="14" borderId="44" xfId="0" applyFont="1" applyFill="1" applyBorder="1" applyAlignment="1">
      <alignment horizontal="center"/>
    </xf>
    <xf numFmtId="3" fontId="7" fillId="4" borderId="2" xfId="0" applyNumberFormat="1" applyFont="1" applyFill="1" applyBorder="1"/>
    <xf numFmtId="0" fontId="6" fillId="4" borderId="6" xfId="0" applyFont="1" applyFill="1" applyBorder="1" applyAlignment="1">
      <alignment horizontal="right"/>
    </xf>
    <xf numFmtId="0" fontId="6" fillId="4" borderId="0" xfId="0" applyFont="1" applyFill="1" applyAlignment="1">
      <alignment horizontal="right"/>
    </xf>
    <xf numFmtId="164" fontId="7" fillId="4" borderId="24" xfId="1" applyNumberFormat="1" applyFont="1" applyFill="1" applyBorder="1" applyAlignment="1">
      <alignment horizontal="center" vertical="center"/>
    </xf>
    <xf numFmtId="164" fontId="7" fillId="4" borderId="7" xfId="1" applyNumberFormat="1" applyFont="1" applyFill="1" applyBorder="1" applyAlignment="1">
      <alignment horizontal="center" vertical="center"/>
    </xf>
    <xf numFmtId="164" fontId="7" fillId="4" borderId="9" xfId="1" applyNumberFormat="1" applyFont="1" applyFill="1" applyBorder="1" applyAlignment="1">
      <alignment horizontal="center" vertical="center"/>
    </xf>
    <xf numFmtId="164" fontId="7" fillId="4" borderId="5" xfId="1" applyNumberFormat="1" applyFont="1" applyFill="1" applyBorder="1" applyAlignment="1">
      <alignment horizontal="center" vertical="center"/>
    </xf>
    <xf numFmtId="164" fontId="7" fillId="4" borderId="15" xfId="1" applyNumberFormat="1" applyFont="1" applyFill="1" applyBorder="1" applyAlignment="1">
      <alignment horizontal="center" vertical="center"/>
    </xf>
    <xf numFmtId="164" fontId="6" fillId="4" borderId="2" xfId="1" applyNumberFormat="1" applyFont="1" applyFill="1" applyBorder="1" applyAlignment="1">
      <alignment horizontal="center" vertical="center"/>
    </xf>
    <xf numFmtId="165" fontId="7" fillId="4" borderId="7" xfId="1" applyNumberFormat="1" applyFont="1" applyFill="1" applyBorder="1" applyAlignment="1">
      <alignment horizontal="center" vertical="center"/>
    </xf>
    <xf numFmtId="165" fontId="7" fillId="4" borderId="2" xfId="1" applyNumberFormat="1" applyFont="1" applyFill="1" applyBorder="1" applyAlignment="1">
      <alignment horizontal="center" vertical="center"/>
    </xf>
    <xf numFmtId="164" fontId="6" fillId="4" borderId="9" xfId="1" applyNumberFormat="1" applyFont="1" applyFill="1" applyBorder="1" applyAlignment="1">
      <alignment horizontal="center" vertical="center"/>
    </xf>
    <xf numFmtId="164" fontId="6" fillId="4" borderId="7" xfId="1" applyNumberFormat="1" applyFont="1" applyFill="1" applyBorder="1" applyAlignment="1">
      <alignment horizontal="center" vertical="center"/>
    </xf>
    <xf numFmtId="164" fontId="6" fillId="4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2" xfId="0" applyFont="1" applyFill="1" applyBorder="1" applyAlignment="1">
      <alignment horizontal="righ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225687</xdr:colOff>
      <xdr:row>509</xdr:row>
      <xdr:rowOff>174811</xdr:rowOff>
    </xdr:from>
    <xdr:to>
      <xdr:col>20</xdr:col>
      <xdr:colOff>570092</xdr:colOff>
      <xdr:row>526</xdr:row>
      <xdr:rowOff>14611</xdr:rowOff>
    </xdr:to>
    <xdr:pic>
      <xdr:nvPicPr>
        <xdr:cNvPr id="5" name="תמונה 1">
          <a:extLst>
            <a:ext uri="{FF2B5EF4-FFF2-40B4-BE49-F238E27FC236}">
              <a16:creationId xmlns:a16="http://schemas.microsoft.com/office/drawing/2014/main" id="{BEE8B222-1C29-B0A6-F629-8717AD542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01813811" y="86746976"/>
          <a:ext cx="5722855" cy="2849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18863</xdr:colOff>
      <xdr:row>15</xdr:row>
      <xdr:rowOff>22860</xdr:rowOff>
    </xdr:to>
    <xdr:pic>
      <xdr:nvPicPr>
        <xdr:cNvPr id="3" name="תמונה 1">
          <a:extLst>
            <a:ext uri="{FF2B5EF4-FFF2-40B4-BE49-F238E27FC236}">
              <a16:creationId xmlns:a16="http://schemas.microsoft.com/office/drawing/2014/main" id="{B60A2067-37A1-B272-9603-2D158D3C4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9730577" y="0"/>
          <a:ext cx="6724463" cy="26517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30480</xdr:rowOff>
    </xdr:from>
    <xdr:to>
      <xdr:col>10</xdr:col>
      <xdr:colOff>7620</xdr:colOff>
      <xdr:row>17</xdr:row>
      <xdr:rowOff>30480</xdr:rowOff>
    </xdr:to>
    <xdr:pic>
      <xdr:nvPicPr>
        <xdr:cNvPr id="7" name="תמונה 2">
          <a:extLst>
            <a:ext uri="{FF2B5EF4-FFF2-40B4-BE49-F238E27FC236}">
              <a16:creationId xmlns:a16="http://schemas.microsoft.com/office/drawing/2014/main" id="{08C1739E-224F-BDEE-72F6-3D7DA2B6F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79741820" y="2659380"/>
          <a:ext cx="6713220" cy="3505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15</xdr:row>
      <xdr:rowOff>0</xdr:rowOff>
    </xdr:from>
    <xdr:to>
      <xdr:col>9</xdr:col>
      <xdr:colOff>648477</xdr:colOff>
      <xdr:row>34</xdr:row>
      <xdr:rowOff>53633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AF04FDA-B9E5-35DA-41C3-8CF14C4A0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80678303" y="2636520"/>
          <a:ext cx="8969517" cy="338357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eur03.safelinks.protection.outlook.com/?url=https%3A%2F%2F6lms1w1z.r.us-east-1.awstrack.me%2FL0%2Fhttps%3A%252F%252Fmyparity.com%252Fproduct%252F01tQt0000093YpbIAE%252Flife-cycle%253Fb%3Da1ZQt000000SZNpMAO%2F1%2F0100019b6ea69976-4f7b9b35-e127-48ee-a426-742c5c8c4335-000000%2FAUBocyiiY3zlVxeM-vfpRpvmBj8%3D459&amp;data=05%7C02%7Ctom%40ar-fo.co.il%7C4604326efb8448f4703d08de47884461%7C6792e330b1764990a2d71ed9158e1823%7C0%7C0%7C639026848095017166%7CUnknown%7CTWFpbGZsb3d8eyJFbXB0eU1hcGkiOnRydWUsIlYiOiIwLjAuMDAwMCIsIlAiOiJXaW4zMiIsIkFOIjoiTWFpbCIsIldUIjoyfQ%3D%3D%7C0%7C%7C%7C&amp;sdata=woN9exeWauA545IPTcZzIQhhAfq6CxZlvFIs1a7CqMM%3D&amp;reserved=0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B88F4-C97C-4C16-9B91-64AAE20A0680}">
  <dimension ref="A1:N525"/>
  <sheetViews>
    <sheetView showGridLines="0" rightToLeft="1" tabSelected="1" topLeftCell="A350" zoomScale="85" zoomScaleNormal="85" workbookViewId="0">
      <selection activeCell="G362" sqref="G362"/>
    </sheetView>
  </sheetViews>
  <sheetFormatPr defaultColWidth="8.83203125" defaultRowHeight="12.5"/>
  <cols>
    <col min="1" max="1" width="13.58203125" style="66" bestFit="1" customWidth="1"/>
    <col min="2" max="2" width="29.33203125" style="67" customWidth="1"/>
    <col min="3" max="3" width="37.1640625" style="67" customWidth="1"/>
    <col min="4" max="4" width="25.5" style="161" customWidth="1"/>
    <col min="5" max="5" width="11.08203125" style="67" customWidth="1"/>
    <col min="6" max="6" width="13.33203125" style="38" customWidth="1"/>
    <col min="7" max="7" width="21" style="38" bestFit="1" customWidth="1"/>
    <col min="8" max="8" width="14.58203125" style="68" customWidth="1"/>
    <col min="9" max="9" width="15.9140625" style="38" customWidth="1"/>
    <col min="10" max="10" width="10.08203125" style="38" bestFit="1" customWidth="1"/>
    <col min="11" max="11" width="14.83203125" style="38" customWidth="1"/>
    <col min="12" max="12" width="8.83203125" style="38" bestFit="1" customWidth="1"/>
    <col min="13" max="13" width="7.6640625" style="67" customWidth="1"/>
    <col min="14" max="14" width="9.9140625" style="38" bestFit="1" customWidth="1"/>
    <col min="15" max="16384" width="8.83203125" style="38"/>
  </cols>
  <sheetData>
    <row r="1" spans="1:13" ht="13">
      <c r="A1" s="33" t="s">
        <v>0</v>
      </c>
      <c r="B1" s="34" t="s">
        <v>1</v>
      </c>
      <c r="C1" s="35" t="s">
        <v>2</v>
      </c>
      <c r="D1" s="157" t="s">
        <v>225</v>
      </c>
      <c r="E1" s="34" t="s">
        <v>3</v>
      </c>
      <c r="F1" s="34" t="s">
        <v>4</v>
      </c>
      <c r="G1" s="36" t="s">
        <v>5</v>
      </c>
      <c r="H1" s="37" t="s">
        <v>6</v>
      </c>
      <c r="I1" s="34" t="s">
        <v>7</v>
      </c>
      <c r="J1" s="34"/>
      <c r="K1" s="48" t="s">
        <v>8</v>
      </c>
      <c r="L1" s="48"/>
      <c r="M1" s="48" t="s">
        <v>9</v>
      </c>
    </row>
    <row r="2" spans="1:13">
      <c r="A2" s="39"/>
      <c r="B2" s="40" t="s">
        <v>10</v>
      </c>
      <c r="C2" s="41" t="s">
        <v>11</v>
      </c>
      <c r="D2" s="115"/>
      <c r="E2" s="40" t="s">
        <v>12</v>
      </c>
      <c r="F2" s="40" t="s">
        <v>13</v>
      </c>
      <c r="G2" s="42" t="s">
        <v>14</v>
      </c>
      <c r="H2" s="43">
        <v>250000</v>
      </c>
      <c r="I2" s="44" t="s">
        <v>15</v>
      </c>
      <c r="J2" s="44"/>
      <c r="K2" s="210">
        <v>45755</v>
      </c>
      <c r="L2" s="210"/>
      <c r="M2" s="40"/>
    </row>
    <row r="3" spans="1:13">
      <c r="A3" s="39"/>
      <c r="B3" s="40" t="s">
        <v>16</v>
      </c>
      <c r="C3" s="41" t="s">
        <v>11</v>
      </c>
      <c r="D3" s="115"/>
      <c r="E3" s="40" t="s">
        <v>17</v>
      </c>
      <c r="F3" s="40" t="s">
        <v>18</v>
      </c>
      <c r="G3" s="42" t="s">
        <v>14</v>
      </c>
      <c r="H3" s="43">
        <v>200000</v>
      </c>
      <c r="I3" s="44" t="s">
        <v>15</v>
      </c>
      <c r="J3" s="44"/>
      <c r="K3" s="210">
        <v>45755</v>
      </c>
      <c r="L3" s="210"/>
      <c r="M3" s="40"/>
    </row>
    <row r="4" spans="1:13">
      <c r="A4" s="39"/>
      <c r="B4" s="40" t="s">
        <v>19</v>
      </c>
      <c r="C4" s="41" t="s">
        <v>11</v>
      </c>
      <c r="D4" s="115"/>
      <c r="E4" s="40" t="s">
        <v>20</v>
      </c>
      <c r="F4" s="40" t="s">
        <v>18</v>
      </c>
      <c r="G4" s="42" t="s">
        <v>14</v>
      </c>
      <c r="H4" s="43">
        <v>250000</v>
      </c>
      <c r="I4" s="40" t="s">
        <v>15</v>
      </c>
      <c r="J4" s="40"/>
      <c r="K4" s="210">
        <v>45755</v>
      </c>
      <c r="L4" s="210"/>
      <c r="M4" s="40"/>
    </row>
    <row r="5" spans="1:13">
      <c r="A5" s="39"/>
      <c r="B5" s="42" t="s">
        <v>21</v>
      </c>
      <c r="C5" s="41" t="s">
        <v>22</v>
      </c>
      <c r="D5" s="115"/>
      <c r="E5" s="40" t="s">
        <v>20</v>
      </c>
      <c r="F5" s="40" t="s">
        <v>23</v>
      </c>
      <c r="G5" s="42" t="s">
        <v>24</v>
      </c>
      <c r="H5" s="43">
        <v>250000</v>
      </c>
      <c r="I5" s="40" t="s">
        <v>25</v>
      </c>
      <c r="J5" s="40"/>
      <c r="K5" s="210">
        <v>45772</v>
      </c>
      <c r="L5" s="210"/>
      <c r="M5" s="40"/>
    </row>
    <row r="6" spans="1:13">
      <c r="A6" s="39"/>
      <c r="B6" s="42" t="s">
        <v>21</v>
      </c>
      <c r="C6" s="41" t="s">
        <v>26</v>
      </c>
      <c r="D6" s="115"/>
      <c r="E6" s="40" t="s">
        <v>20</v>
      </c>
      <c r="F6" s="40" t="s">
        <v>23</v>
      </c>
      <c r="G6" s="42" t="s">
        <v>27</v>
      </c>
      <c r="H6" s="43">
        <v>250000</v>
      </c>
      <c r="I6" s="40" t="s">
        <v>25</v>
      </c>
      <c r="J6" s="40"/>
      <c r="K6" s="210">
        <v>45772</v>
      </c>
      <c r="L6" s="210"/>
      <c r="M6" s="40"/>
    </row>
    <row r="7" spans="1:13">
      <c r="A7" s="39"/>
      <c r="B7" s="42" t="s">
        <v>21</v>
      </c>
      <c r="C7" s="41" t="s">
        <v>28</v>
      </c>
      <c r="D7" s="115"/>
      <c r="E7" s="40" t="s">
        <v>20</v>
      </c>
      <c r="F7" s="40" t="s">
        <v>23</v>
      </c>
      <c r="G7" s="42" t="s">
        <v>29</v>
      </c>
      <c r="H7" s="43">
        <v>250000</v>
      </c>
      <c r="I7" s="40" t="s">
        <v>25</v>
      </c>
      <c r="J7" s="40"/>
      <c r="K7" s="210">
        <v>45772</v>
      </c>
      <c r="L7" s="210"/>
      <c r="M7" s="40"/>
    </row>
    <row r="8" spans="1:13">
      <c r="A8" s="39"/>
      <c r="B8" s="42" t="s">
        <v>21</v>
      </c>
      <c r="C8" s="41" t="s">
        <v>30</v>
      </c>
      <c r="D8" s="115"/>
      <c r="E8" s="40" t="s">
        <v>20</v>
      </c>
      <c r="F8" s="40" t="s">
        <v>23</v>
      </c>
      <c r="G8" s="42" t="s">
        <v>31</v>
      </c>
      <c r="H8" s="43">
        <v>250000</v>
      </c>
      <c r="I8" s="40" t="s">
        <v>25</v>
      </c>
      <c r="J8" s="40"/>
      <c r="K8" s="210">
        <v>45769</v>
      </c>
      <c r="L8" s="210"/>
      <c r="M8" s="40"/>
    </row>
    <row r="9" spans="1:13">
      <c r="A9" s="39"/>
      <c r="B9" s="40" t="s">
        <v>19</v>
      </c>
      <c r="C9" s="41" t="s">
        <v>30</v>
      </c>
      <c r="D9" s="115"/>
      <c r="E9" s="40" t="s">
        <v>20</v>
      </c>
      <c r="F9" s="40" t="s">
        <v>18</v>
      </c>
      <c r="G9" s="42" t="s">
        <v>32</v>
      </c>
      <c r="H9" s="43">
        <v>150000</v>
      </c>
      <c r="I9" s="40" t="s">
        <v>25</v>
      </c>
      <c r="J9" s="40"/>
      <c r="K9" s="210">
        <v>45769</v>
      </c>
      <c r="L9" s="210"/>
      <c r="M9" s="40"/>
    </row>
    <row r="10" spans="1:13">
      <c r="A10" s="39"/>
      <c r="B10" s="40" t="s">
        <v>33</v>
      </c>
      <c r="C10" s="41" t="s">
        <v>30</v>
      </c>
      <c r="D10" s="115"/>
      <c r="E10" s="40" t="s">
        <v>20</v>
      </c>
      <c r="F10" s="40" t="s">
        <v>18</v>
      </c>
      <c r="G10" s="42" t="s">
        <v>32</v>
      </c>
      <c r="H10" s="43">
        <v>100000</v>
      </c>
      <c r="I10" s="40" t="s">
        <v>25</v>
      </c>
      <c r="J10" s="40"/>
      <c r="K10" s="210">
        <v>45769</v>
      </c>
      <c r="L10" s="210"/>
      <c r="M10" s="40"/>
    </row>
    <row r="11" spans="1:13">
      <c r="A11" s="39"/>
      <c r="B11" s="40" t="s">
        <v>19</v>
      </c>
      <c r="C11" s="41" t="s">
        <v>34</v>
      </c>
      <c r="D11" s="115"/>
      <c r="E11" s="40" t="s">
        <v>20</v>
      </c>
      <c r="F11" s="40" t="s">
        <v>18</v>
      </c>
      <c r="G11" s="42" t="s">
        <v>35</v>
      </c>
      <c r="H11" s="43">
        <v>500000</v>
      </c>
      <c r="I11" s="40" t="s">
        <v>15</v>
      </c>
      <c r="J11" s="40"/>
      <c r="K11" s="210">
        <v>45775</v>
      </c>
      <c r="L11" s="210"/>
      <c r="M11" s="40"/>
    </row>
    <row r="12" spans="1:13">
      <c r="A12" s="39"/>
      <c r="B12" s="40" t="s">
        <v>36</v>
      </c>
      <c r="C12" s="41" t="s">
        <v>34</v>
      </c>
      <c r="D12" s="115"/>
      <c r="E12" s="40" t="s">
        <v>20</v>
      </c>
      <c r="F12" s="40" t="s">
        <v>37</v>
      </c>
      <c r="G12" s="42" t="s">
        <v>35</v>
      </c>
      <c r="H12" s="43">
        <v>150000</v>
      </c>
      <c r="I12" s="40" t="s">
        <v>15</v>
      </c>
      <c r="J12" s="40"/>
      <c r="K12" s="210">
        <v>45775</v>
      </c>
      <c r="L12" s="210"/>
      <c r="M12" s="40"/>
    </row>
    <row r="13" spans="1:13">
      <c r="A13" s="39"/>
      <c r="B13" s="40" t="s">
        <v>38</v>
      </c>
      <c r="C13" s="41" t="s">
        <v>34</v>
      </c>
      <c r="D13" s="115"/>
      <c r="E13" s="40" t="s">
        <v>17</v>
      </c>
      <c r="F13" s="40" t="s">
        <v>39</v>
      </c>
      <c r="G13" s="42" t="s">
        <v>35</v>
      </c>
      <c r="H13" s="43">
        <v>200000</v>
      </c>
      <c r="I13" s="40" t="s">
        <v>15</v>
      </c>
      <c r="J13" s="40"/>
      <c r="K13" s="210">
        <v>45775</v>
      </c>
      <c r="L13" s="210"/>
      <c r="M13" s="40"/>
    </row>
    <row r="14" spans="1:13">
      <c r="A14" s="39"/>
      <c r="B14" s="40" t="s">
        <v>16</v>
      </c>
      <c r="C14" s="41" t="s">
        <v>40</v>
      </c>
      <c r="D14" s="115"/>
      <c r="E14" s="40" t="s">
        <v>17</v>
      </c>
      <c r="F14" s="40" t="s">
        <v>18</v>
      </c>
      <c r="G14" s="42" t="s">
        <v>41</v>
      </c>
      <c r="H14" s="43">
        <v>250000</v>
      </c>
      <c r="I14" s="40" t="s">
        <v>15</v>
      </c>
      <c r="J14" s="40"/>
      <c r="K14" s="210">
        <v>45786</v>
      </c>
      <c r="L14" s="210"/>
      <c r="M14" s="40"/>
    </row>
    <row r="15" spans="1:13">
      <c r="A15" s="39"/>
      <c r="B15" s="40" t="s">
        <v>42</v>
      </c>
      <c r="C15" s="41" t="s">
        <v>40</v>
      </c>
      <c r="D15" s="115"/>
      <c r="E15" s="40" t="s">
        <v>17</v>
      </c>
      <c r="F15" s="40" t="s">
        <v>39</v>
      </c>
      <c r="G15" s="42" t="s">
        <v>41</v>
      </c>
      <c r="H15" s="43">
        <v>150000</v>
      </c>
      <c r="I15" s="40" t="s">
        <v>15</v>
      </c>
      <c r="J15" s="40"/>
      <c r="K15" s="210">
        <v>45786</v>
      </c>
      <c r="L15" s="210"/>
      <c r="M15" s="40"/>
    </row>
    <row r="16" spans="1:13">
      <c r="A16" s="39"/>
      <c r="B16" s="40" t="s">
        <v>43</v>
      </c>
      <c r="C16" s="41" t="s">
        <v>40</v>
      </c>
      <c r="D16" s="115"/>
      <c r="E16" s="40" t="s">
        <v>12</v>
      </c>
      <c r="F16" s="40" t="s">
        <v>44</v>
      </c>
      <c r="G16" s="42" t="s">
        <v>41</v>
      </c>
      <c r="H16" s="43">
        <v>400000</v>
      </c>
      <c r="I16" s="40" t="s">
        <v>15</v>
      </c>
      <c r="J16" s="40"/>
      <c r="K16" s="210">
        <v>45786</v>
      </c>
      <c r="L16" s="210"/>
      <c r="M16" s="40"/>
    </row>
    <row r="17" spans="1:13">
      <c r="A17" s="39"/>
      <c r="B17" s="40" t="s">
        <v>45</v>
      </c>
      <c r="C17" s="41" t="s">
        <v>40</v>
      </c>
      <c r="D17" s="115"/>
      <c r="E17" s="40" t="s">
        <v>20</v>
      </c>
      <c r="F17" s="40" t="s">
        <v>18</v>
      </c>
      <c r="G17" s="42" t="s">
        <v>41</v>
      </c>
      <c r="H17" s="43">
        <v>200000</v>
      </c>
      <c r="I17" s="40" t="s">
        <v>15</v>
      </c>
      <c r="J17" s="40"/>
      <c r="K17" s="210">
        <v>45786</v>
      </c>
      <c r="L17" s="210"/>
      <c r="M17" s="40"/>
    </row>
    <row r="18" spans="1:13">
      <c r="A18" s="39"/>
      <c r="B18" s="40" t="s">
        <v>45</v>
      </c>
      <c r="C18" s="41" t="s">
        <v>46</v>
      </c>
      <c r="D18" s="115"/>
      <c r="E18" s="40" t="s">
        <v>20</v>
      </c>
      <c r="F18" s="40" t="s">
        <v>18</v>
      </c>
      <c r="G18" s="42" t="s">
        <v>47</v>
      </c>
      <c r="H18" s="43">
        <v>125000</v>
      </c>
      <c r="I18" s="40" t="s">
        <v>25</v>
      </c>
      <c r="J18" s="40"/>
      <c r="K18" s="210">
        <v>45785</v>
      </c>
      <c r="L18" s="210"/>
      <c r="M18" s="40"/>
    </row>
    <row r="19" spans="1:13">
      <c r="A19" s="39"/>
      <c r="B19" s="40" t="s">
        <v>45</v>
      </c>
      <c r="C19" s="41" t="s">
        <v>48</v>
      </c>
      <c r="D19" s="115"/>
      <c r="E19" s="40" t="s">
        <v>20</v>
      </c>
      <c r="F19" s="40" t="s">
        <v>18</v>
      </c>
      <c r="G19" s="42" t="s">
        <v>49</v>
      </c>
      <c r="H19" s="43">
        <v>125000</v>
      </c>
      <c r="I19" s="40" t="s">
        <v>25</v>
      </c>
      <c r="J19" s="40"/>
      <c r="K19" s="210">
        <v>45785</v>
      </c>
      <c r="L19" s="210"/>
      <c r="M19" s="40"/>
    </row>
    <row r="20" spans="1:13">
      <c r="A20" s="39"/>
      <c r="B20" s="40" t="s">
        <v>50</v>
      </c>
      <c r="C20" s="41" t="s">
        <v>51</v>
      </c>
      <c r="D20" s="115"/>
      <c r="E20" s="40" t="s">
        <v>20</v>
      </c>
      <c r="F20" s="40" t="s">
        <v>23</v>
      </c>
      <c r="G20" s="42" t="s">
        <v>52</v>
      </c>
      <c r="H20" s="43">
        <v>250000</v>
      </c>
      <c r="I20" s="40" t="s">
        <v>53</v>
      </c>
      <c r="J20" s="40"/>
      <c r="K20" s="210">
        <v>45785</v>
      </c>
      <c r="L20" s="210"/>
      <c r="M20" s="40"/>
    </row>
    <row r="21" spans="1:13">
      <c r="A21" s="39"/>
      <c r="B21" s="40" t="s">
        <v>54</v>
      </c>
      <c r="C21" s="41" t="s">
        <v>55</v>
      </c>
      <c r="D21" s="115"/>
      <c r="E21" s="40" t="s">
        <v>12</v>
      </c>
      <c r="F21" s="40" t="s">
        <v>44</v>
      </c>
      <c r="G21" s="42" t="s">
        <v>56</v>
      </c>
      <c r="H21" s="43">
        <v>400000</v>
      </c>
      <c r="I21" s="40" t="s">
        <v>15</v>
      </c>
      <c r="J21" s="40"/>
      <c r="K21" s="210">
        <v>45803</v>
      </c>
      <c r="L21" s="210"/>
      <c r="M21" s="40"/>
    </row>
    <row r="22" spans="1:13">
      <c r="A22" s="39"/>
      <c r="B22" s="40" t="s">
        <v>57</v>
      </c>
      <c r="C22" s="41" t="s">
        <v>55</v>
      </c>
      <c r="D22" s="115"/>
      <c r="E22" s="40" t="s">
        <v>17</v>
      </c>
      <c r="F22" s="40" t="s">
        <v>37</v>
      </c>
      <c r="G22" s="42" t="s">
        <v>56</v>
      </c>
      <c r="H22" s="43">
        <v>100000</v>
      </c>
      <c r="I22" s="40" t="s">
        <v>15</v>
      </c>
      <c r="J22" s="40"/>
      <c r="K22" s="210">
        <v>45803</v>
      </c>
      <c r="L22" s="210"/>
      <c r="M22" s="40"/>
    </row>
    <row r="23" spans="1:13">
      <c r="A23" s="39"/>
      <c r="B23" s="40" t="s">
        <v>58</v>
      </c>
      <c r="C23" s="41" t="s">
        <v>55</v>
      </c>
      <c r="D23" s="115"/>
      <c r="E23" s="40" t="s">
        <v>12</v>
      </c>
      <c r="F23" s="40" t="s">
        <v>18</v>
      </c>
      <c r="G23" s="42" t="s">
        <v>56</v>
      </c>
      <c r="H23" s="43">
        <v>200000</v>
      </c>
      <c r="I23" s="40" t="s">
        <v>15</v>
      </c>
      <c r="J23" s="40"/>
      <c r="K23" s="210">
        <v>45803</v>
      </c>
      <c r="L23" s="210"/>
      <c r="M23" s="40"/>
    </row>
    <row r="24" spans="1:13">
      <c r="A24" s="39"/>
      <c r="B24" s="40" t="s">
        <v>59</v>
      </c>
      <c r="C24" s="41" t="s">
        <v>55</v>
      </c>
      <c r="D24" s="115"/>
      <c r="E24" s="40" t="s">
        <v>12</v>
      </c>
      <c r="F24" s="40" t="s">
        <v>18</v>
      </c>
      <c r="G24" s="42" t="s">
        <v>56</v>
      </c>
      <c r="H24" s="43">
        <v>100000</v>
      </c>
      <c r="I24" s="40" t="s">
        <v>15</v>
      </c>
      <c r="J24" s="40"/>
      <c r="K24" s="210">
        <v>45803</v>
      </c>
      <c r="L24" s="210"/>
      <c r="M24" s="40"/>
    </row>
    <row r="25" spans="1:13">
      <c r="A25" s="39"/>
      <c r="B25" s="40" t="s">
        <v>16</v>
      </c>
      <c r="C25" s="41" t="s">
        <v>55</v>
      </c>
      <c r="D25" s="115"/>
      <c r="E25" s="40" t="s">
        <v>17</v>
      </c>
      <c r="F25" s="40" t="s">
        <v>18</v>
      </c>
      <c r="G25" s="42" t="s">
        <v>56</v>
      </c>
      <c r="H25" s="43">
        <v>200000</v>
      </c>
      <c r="I25" s="40" t="s">
        <v>15</v>
      </c>
      <c r="J25" s="40"/>
      <c r="K25" s="210">
        <v>45803</v>
      </c>
      <c r="L25" s="210"/>
      <c r="M25" s="40"/>
    </row>
    <row r="26" spans="1:13">
      <c r="A26" s="39"/>
      <c r="B26" s="40" t="s">
        <v>60</v>
      </c>
      <c r="C26" s="233" t="s">
        <v>381</v>
      </c>
      <c r="D26" s="115"/>
      <c r="E26" s="40" t="s">
        <v>17</v>
      </c>
      <c r="F26" s="40" t="s">
        <v>37</v>
      </c>
      <c r="G26" s="226" t="s">
        <v>61</v>
      </c>
      <c r="H26" s="43">
        <v>150000</v>
      </c>
      <c r="I26" s="40" t="s">
        <v>15</v>
      </c>
      <c r="J26" s="40"/>
      <c r="K26" s="210">
        <v>45803</v>
      </c>
      <c r="L26" s="210"/>
      <c r="M26" s="40"/>
    </row>
    <row r="27" spans="1:13">
      <c r="A27" s="39"/>
      <c r="B27" s="40" t="s">
        <v>43</v>
      </c>
      <c r="C27" s="233" t="s">
        <v>381</v>
      </c>
      <c r="D27" s="115"/>
      <c r="E27" s="40" t="s">
        <v>12</v>
      </c>
      <c r="F27" s="40" t="s">
        <v>44</v>
      </c>
      <c r="G27" s="226" t="s">
        <v>62</v>
      </c>
      <c r="H27" s="43">
        <v>450000</v>
      </c>
      <c r="I27" s="40" t="s">
        <v>15</v>
      </c>
      <c r="J27" s="40"/>
      <c r="K27" s="210">
        <v>45803</v>
      </c>
      <c r="L27" s="210"/>
      <c r="M27" s="40"/>
    </row>
    <row r="28" spans="1:13">
      <c r="A28" s="39"/>
      <c r="B28" s="40" t="s">
        <v>19</v>
      </c>
      <c r="C28" s="233" t="s">
        <v>381</v>
      </c>
      <c r="D28" s="115"/>
      <c r="E28" s="40" t="s">
        <v>20</v>
      </c>
      <c r="F28" s="40" t="s">
        <v>18</v>
      </c>
      <c r="G28" s="226" t="s">
        <v>62</v>
      </c>
      <c r="H28" s="43">
        <v>250000</v>
      </c>
      <c r="I28" s="40" t="s">
        <v>15</v>
      </c>
      <c r="J28" s="40"/>
      <c r="K28" s="210">
        <v>45803</v>
      </c>
      <c r="L28" s="210"/>
      <c r="M28" s="40"/>
    </row>
    <row r="29" spans="1:13">
      <c r="A29" s="39"/>
      <c r="B29" s="40" t="s">
        <v>63</v>
      </c>
      <c r="C29" s="233" t="s">
        <v>381</v>
      </c>
      <c r="D29" s="115"/>
      <c r="E29" s="40" t="s">
        <v>12</v>
      </c>
      <c r="F29" s="40" t="s">
        <v>39</v>
      </c>
      <c r="G29" s="226" t="s">
        <v>62</v>
      </c>
      <c r="H29" s="43">
        <v>150000</v>
      </c>
      <c r="I29" s="40" t="s">
        <v>15</v>
      </c>
      <c r="J29" s="40"/>
      <c r="K29" s="210">
        <v>45803</v>
      </c>
      <c r="L29" s="210"/>
      <c r="M29" s="40"/>
    </row>
    <row r="30" spans="1:13">
      <c r="A30" s="39"/>
      <c r="B30" s="42" t="s">
        <v>64</v>
      </c>
      <c r="C30" s="45" t="s">
        <v>65</v>
      </c>
      <c r="D30" s="158"/>
      <c r="E30" s="42" t="s">
        <v>66</v>
      </c>
      <c r="F30" s="42" t="s">
        <v>44</v>
      </c>
      <c r="G30" s="42" t="s">
        <v>67</v>
      </c>
      <c r="H30" s="43">
        <v>36000</v>
      </c>
      <c r="I30" s="42" t="s">
        <v>53</v>
      </c>
      <c r="J30" s="42"/>
      <c r="K30" s="211">
        <v>45798</v>
      </c>
      <c r="L30" s="211"/>
      <c r="M30" s="42"/>
    </row>
    <row r="31" spans="1:13">
      <c r="A31" s="39"/>
      <c r="B31" s="42" t="s">
        <v>68</v>
      </c>
      <c r="C31" s="45" t="s">
        <v>65</v>
      </c>
      <c r="D31" s="158"/>
      <c r="E31" s="42" t="s">
        <v>20</v>
      </c>
      <c r="F31" s="42" t="s">
        <v>23</v>
      </c>
      <c r="G31" s="42" t="s">
        <v>67</v>
      </c>
      <c r="H31" s="43">
        <v>250000</v>
      </c>
      <c r="I31" s="42" t="s">
        <v>53</v>
      </c>
      <c r="J31" s="42"/>
      <c r="K31" s="211">
        <v>45798</v>
      </c>
      <c r="L31" s="211"/>
      <c r="M31" s="42"/>
    </row>
    <row r="32" spans="1:13">
      <c r="A32" s="39"/>
      <c r="B32" s="40" t="s">
        <v>69</v>
      </c>
      <c r="C32" s="233" t="s">
        <v>382</v>
      </c>
      <c r="D32" s="115"/>
      <c r="E32" s="40" t="s">
        <v>12</v>
      </c>
      <c r="F32" s="40" t="s">
        <v>37</v>
      </c>
      <c r="G32" s="226" t="s">
        <v>70</v>
      </c>
      <c r="H32" s="43">
        <v>150000</v>
      </c>
      <c r="I32" s="40" t="s">
        <v>15</v>
      </c>
      <c r="J32" s="40"/>
      <c r="K32" s="210">
        <v>45800</v>
      </c>
      <c r="L32" s="210"/>
      <c r="M32" s="40"/>
    </row>
    <row r="33" spans="1:13">
      <c r="A33" s="39"/>
      <c r="B33" s="40" t="s">
        <v>63</v>
      </c>
      <c r="C33" s="233" t="s">
        <v>382</v>
      </c>
      <c r="D33" s="115"/>
      <c r="E33" s="40" t="s">
        <v>12</v>
      </c>
      <c r="F33" s="40" t="s">
        <v>39</v>
      </c>
      <c r="G33" s="226" t="s">
        <v>70</v>
      </c>
      <c r="H33" s="43">
        <v>350000</v>
      </c>
      <c r="I33" s="40" t="s">
        <v>15</v>
      </c>
      <c r="J33" s="40"/>
      <c r="K33" s="210">
        <v>45800</v>
      </c>
      <c r="L33" s="210"/>
      <c r="M33" s="40"/>
    </row>
    <row r="34" spans="1:13">
      <c r="A34" s="39"/>
      <c r="B34" s="40" t="s">
        <v>57</v>
      </c>
      <c r="C34" s="233" t="s">
        <v>382</v>
      </c>
      <c r="D34" s="115"/>
      <c r="E34" s="40" t="s">
        <v>17</v>
      </c>
      <c r="F34" s="40" t="s">
        <v>37</v>
      </c>
      <c r="G34" s="226" t="s">
        <v>70</v>
      </c>
      <c r="H34" s="43">
        <v>250000</v>
      </c>
      <c r="I34" s="40" t="s">
        <v>15</v>
      </c>
      <c r="J34" s="40"/>
      <c r="K34" s="210">
        <v>45800</v>
      </c>
      <c r="L34" s="210"/>
      <c r="M34" s="40"/>
    </row>
    <row r="35" spans="1:13">
      <c r="A35" s="39"/>
      <c r="B35" s="40" t="s">
        <v>19</v>
      </c>
      <c r="C35" s="233" t="s">
        <v>382</v>
      </c>
      <c r="D35" s="115"/>
      <c r="E35" s="40" t="s">
        <v>20</v>
      </c>
      <c r="F35" s="40" t="s">
        <v>18</v>
      </c>
      <c r="G35" s="226" t="s">
        <v>70</v>
      </c>
      <c r="H35" s="43">
        <v>250000</v>
      </c>
      <c r="I35" s="40" t="s">
        <v>15</v>
      </c>
      <c r="J35" s="40"/>
      <c r="K35" s="210">
        <v>45800</v>
      </c>
      <c r="L35" s="210"/>
      <c r="M35" s="40"/>
    </row>
    <row r="36" spans="1:13">
      <c r="A36" s="39"/>
      <c r="B36" s="46" t="s">
        <v>71</v>
      </c>
      <c r="C36" s="41" t="s">
        <v>72</v>
      </c>
      <c r="D36" s="115"/>
      <c r="E36" s="40" t="s">
        <v>12</v>
      </c>
      <c r="F36" s="46" t="s">
        <v>37</v>
      </c>
      <c r="G36" s="47" t="s">
        <v>73</v>
      </c>
      <c r="H36" s="43">
        <v>100000</v>
      </c>
      <c r="I36" s="40" t="s">
        <v>15</v>
      </c>
      <c r="J36" s="40"/>
      <c r="K36" s="210">
        <v>45820</v>
      </c>
      <c r="L36" s="210"/>
      <c r="M36" s="40"/>
    </row>
    <row r="37" spans="1:13">
      <c r="A37" s="39"/>
      <c r="B37" s="46" t="s">
        <v>74</v>
      </c>
      <c r="C37" s="41" t="s">
        <v>72</v>
      </c>
      <c r="D37" s="115"/>
      <c r="E37" s="40" t="s">
        <v>17</v>
      </c>
      <c r="F37" s="46" t="s">
        <v>44</v>
      </c>
      <c r="G37" s="47" t="s">
        <v>73</v>
      </c>
      <c r="H37" s="43">
        <v>150000</v>
      </c>
      <c r="I37" s="40" t="s">
        <v>15</v>
      </c>
      <c r="J37" s="40"/>
      <c r="K37" s="210">
        <v>45820</v>
      </c>
      <c r="L37" s="210"/>
      <c r="M37" s="40"/>
    </row>
    <row r="38" spans="1:13">
      <c r="A38" s="39"/>
      <c r="B38" s="46" t="s">
        <v>75</v>
      </c>
      <c r="C38" s="41" t="s">
        <v>72</v>
      </c>
      <c r="D38" s="115"/>
      <c r="E38" s="40" t="s">
        <v>20</v>
      </c>
      <c r="F38" s="46" t="s">
        <v>37</v>
      </c>
      <c r="G38" s="47" t="s">
        <v>73</v>
      </c>
      <c r="H38" s="43">
        <v>100000</v>
      </c>
      <c r="I38" s="40" t="s">
        <v>15</v>
      </c>
      <c r="J38" s="40"/>
      <c r="K38" s="210">
        <v>45820</v>
      </c>
      <c r="L38" s="210"/>
      <c r="M38" s="40"/>
    </row>
    <row r="39" spans="1:13">
      <c r="A39" s="39"/>
      <c r="B39" s="46" t="s">
        <v>19</v>
      </c>
      <c r="C39" s="41" t="s">
        <v>72</v>
      </c>
      <c r="D39" s="115"/>
      <c r="E39" s="40" t="s">
        <v>20</v>
      </c>
      <c r="F39" s="46" t="s">
        <v>18</v>
      </c>
      <c r="G39" s="47" t="s">
        <v>73</v>
      </c>
      <c r="H39" s="43">
        <v>250000</v>
      </c>
      <c r="I39" s="40" t="s">
        <v>15</v>
      </c>
      <c r="J39" s="40"/>
      <c r="K39" s="210">
        <v>45820</v>
      </c>
      <c r="L39" s="210"/>
      <c r="M39" s="40"/>
    </row>
    <row r="40" spans="1:13">
      <c r="A40" s="39"/>
      <c r="B40" s="46" t="s">
        <v>76</v>
      </c>
      <c r="C40" s="41" t="s">
        <v>72</v>
      </c>
      <c r="D40" s="115"/>
      <c r="E40" s="40" t="s">
        <v>20</v>
      </c>
      <c r="F40" s="46" t="s">
        <v>37</v>
      </c>
      <c r="G40" s="47" t="s">
        <v>73</v>
      </c>
      <c r="H40" s="43">
        <v>150000</v>
      </c>
      <c r="I40" s="40" t="s">
        <v>15</v>
      </c>
      <c r="J40" s="40"/>
      <c r="K40" s="210">
        <v>45820</v>
      </c>
      <c r="L40" s="210"/>
      <c r="M40" s="40"/>
    </row>
    <row r="41" spans="1:13">
      <c r="A41" s="39"/>
      <c r="B41" s="46" t="s">
        <v>16</v>
      </c>
      <c r="C41" s="41" t="s">
        <v>72</v>
      </c>
      <c r="D41" s="115"/>
      <c r="E41" s="40" t="s">
        <v>17</v>
      </c>
      <c r="F41" s="46" t="s">
        <v>18</v>
      </c>
      <c r="G41" s="47" t="s">
        <v>73</v>
      </c>
      <c r="H41" s="43">
        <v>250000</v>
      </c>
      <c r="I41" s="40" t="s">
        <v>15</v>
      </c>
      <c r="J41" s="40"/>
      <c r="K41" s="210">
        <v>45820</v>
      </c>
      <c r="L41" s="210"/>
      <c r="M41" s="40"/>
    </row>
    <row r="42" spans="1:13">
      <c r="A42" s="39"/>
      <c r="B42" s="46" t="s">
        <v>77</v>
      </c>
      <c r="C42" s="41" t="s">
        <v>72</v>
      </c>
      <c r="D42" s="115"/>
      <c r="E42" s="40" t="s">
        <v>20</v>
      </c>
      <c r="F42" s="46" t="s">
        <v>78</v>
      </c>
      <c r="G42" s="47" t="s">
        <v>73</v>
      </c>
      <c r="H42" s="43">
        <v>100000</v>
      </c>
      <c r="I42" s="40" t="s">
        <v>15</v>
      </c>
      <c r="J42" s="40"/>
      <c r="K42" s="210">
        <v>45820</v>
      </c>
      <c r="L42" s="210"/>
      <c r="M42" s="40"/>
    </row>
    <row r="43" spans="1:13">
      <c r="A43" s="39"/>
      <c r="B43" s="46" t="s">
        <v>79</v>
      </c>
      <c r="C43" s="41" t="s">
        <v>72</v>
      </c>
      <c r="D43" s="115"/>
      <c r="E43" s="40" t="s">
        <v>12</v>
      </c>
      <c r="F43" s="46" t="s">
        <v>37</v>
      </c>
      <c r="G43" s="47" t="s">
        <v>73</v>
      </c>
      <c r="H43" s="43">
        <v>50000</v>
      </c>
      <c r="I43" s="40" t="s">
        <v>15</v>
      </c>
      <c r="J43" s="40"/>
      <c r="K43" s="210">
        <v>45820</v>
      </c>
      <c r="L43" s="210"/>
      <c r="M43" s="40"/>
    </row>
    <row r="44" spans="1:13">
      <c r="A44" s="39"/>
      <c r="B44" s="46" t="s">
        <v>33</v>
      </c>
      <c r="C44" s="41" t="s">
        <v>72</v>
      </c>
      <c r="D44" s="115"/>
      <c r="E44" s="40" t="s">
        <v>20</v>
      </c>
      <c r="F44" s="46" t="s">
        <v>18</v>
      </c>
      <c r="G44" s="47" t="s">
        <v>73</v>
      </c>
      <c r="H44" s="43">
        <v>150000</v>
      </c>
      <c r="I44" s="40" t="s">
        <v>15</v>
      </c>
      <c r="J44" s="40"/>
      <c r="K44" s="210">
        <v>45820</v>
      </c>
      <c r="L44" s="210"/>
      <c r="M44" s="40"/>
    </row>
    <row r="45" spans="1:13">
      <c r="A45" s="39"/>
      <c r="B45" s="46" t="s">
        <v>80</v>
      </c>
      <c r="C45" s="41" t="s">
        <v>72</v>
      </c>
      <c r="D45" s="115"/>
      <c r="E45" s="40" t="s">
        <v>20</v>
      </c>
      <c r="F45" s="46" t="s">
        <v>37</v>
      </c>
      <c r="G45" s="47" t="s">
        <v>73</v>
      </c>
      <c r="H45" s="43">
        <v>125000</v>
      </c>
      <c r="I45" s="40" t="s">
        <v>15</v>
      </c>
      <c r="J45" s="40"/>
      <c r="K45" s="210">
        <v>45820</v>
      </c>
      <c r="L45" s="210"/>
      <c r="M45" s="40"/>
    </row>
    <row r="46" spans="1:13">
      <c r="A46" s="39"/>
      <c r="B46" s="46" t="s">
        <v>36</v>
      </c>
      <c r="C46" s="41" t="s">
        <v>72</v>
      </c>
      <c r="D46" s="115"/>
      <c r="E46" s="40" t="s">
        <v>20</v>
      </c>
      <c r="F46" s="46" t="s">
        <v>37</v>
      </c>
      <c r="G46" s="47" t="s">
        <v>73</v>
      </c>
      <c r="H46" s="43">
        <v>125000</v>
      </c>
      <c r="I46" s="40" t="s">
        <v>15</v>
      </c>
      <c r="J46" s="40"/>
      <c r="K46" s="210">
        <v>45820</v>
      </c>
      <c r="L46" s="210"/>
      <c r="M46" s="40"/>
    </row>
    <row r="47" spans="1:13">
      <c r="A47" s="39"/>
      <c r="B47" s="46" t="s">
        <v>81</v>
      </c>
      <c r="C47" s="41" t="s">
        <v>72</v>
      </c>
      <c r="D47" s="115"/>
      <c r="E47" s="40" t="s">
        <v>20</v>
      </c>
      <c r="F47" s="46" t="s">
        <v>82</v>
      </c>
      <c r="G47" s="47" t="s">
        <v>73</v>
      </c>
      <c r="H47" s="43">
        <v>450000</v>
      </c>
      <c r="I47" s="40" t="s">
        <v>15</v>
      </c>
      <c r="J47" s="40"/>
      <c r="K47" s="210">
        <v>45820</v>
      </c>
      <c r="L47" s="210"/>
      <c r="M47" s="40"/>
    </row>
    <row r="48" spans="1:13">
      <c r="A48" s="39"/>
      <c r="B48" s="46" t="s">
        <v>50</v>
      </c>
      <c r="C48" s="41" t="s">
        <v>83</v>
      </c>
      <c r="D48" s="115"/>
      <c r="E48" s="40" t="s">
        <v>20</v>
      </c>
      <c r="F48" s="46" t="s">
        <v>23</v>
      </c>
      <c r="G48" s="47" t="s">
        <v>84</v>
      </c>
      <c r="H48" s="43">
        <v>200000</v>
      </c>
      <c r="I48" s="40" t="s">
        <v>53</v>
      </c>
      <c r="J48" s="40"/>
      <c r="K48" s="210">
        <v>45821</v>
      </c>
      <c r="L48" s="210"/>
      <c r="M48" s="40"/>
    </row>
    <row r="49" spans="1:13">
      <c r="A49" s="39"/>
      <c r="B49" s="40" t="s">
        <v>85</v>
      </c>
      <c r="C49" s="41" t="s">
        <v>83</v>
      </c>
      <c r="D49" s="115"/>
      <c r="E49" s="40" t="s">
        <v>20</v>
      </c>
      <c r="F49" s="40" t="s">
        <v>44</v>
      </c>
      <c r="G49" s="42" t="s">
        <v>86</v>
      </c>
      <c r="H49" s="43">
        <v>50000</v>
      </c>
      <c r="I49" s="40" t="s">
        <v>53</v>
      </c>
      <c r="J49" s="40"/>
      <c r="K49" s="210">
        <v>45821</v>
      </c>
      <c r="L49" s="210"/>
      <c r="M49" s="40"/>
    </row>
    <row r="50" spans="1:13">
      <c r="A50" s="39"/>
      <c r="B50" s="40" t="s">
        <v>50</v>
      </c>
      <c r="C50" s="41" t="s">
        <v>87</v>
      </c>
      <c r="D50" s="115"/>
      <c r="E50" s="40" t="s">
        <v>20</v>
      </c>
      <c r="F50" s="40" t="s">
        <v>23</v>
      </c>
      <c r="G50" s="42" t="s">
        <v>88</v>
      </c>
      <c r="H50" s="43">
        <v>200000</v>
      </c>
      <c r="I50" s="40" t="s">
        <v>53</v>
      </c>
      <c r="J50" s="40"/>
      <c r="K50" s="210">
        <v>45821</v>
      </c>
      <c r="L50" s="210"/>
      <c r="M50" s="40"/>
    </row>
    <row r="51" spans="1:13">
      <c r="A51" s="39"/>
      <c r="B51" s="40" t="s">
        <v>85</v>
      </c>
      <c r="C51" s="41" t="s">
        <v>87</v>
      </c>
      <c r="D51" s="115"/>
      <c r="E51" s="40" t="s">
        <v>20</v>
      </c>
      <c r="F51" s="40" t="s">
        <v>44</v>
      </c>
      <c r="G51" s="42" t="s">
        <v>89</v>
      </c>
      <c r="H51" s="43">
        <v>50000</v>
      </c>
      <c r="I51" s="40" t="s">
        <v>53</v>
      </c>
      <c r="J51" s="40"/>
      <c r="K51" s="210">
        <v>45821</v>
      </c>
      <c r="L51" s="210"/>
      <c r="M51" s="40"/>
    </row>
    <row r="52" spans="1:13">
      <c r="A52" s="39"/>
      <c r="B52" s="40" t="s">
        <v>50</v>
      </c>
      <c r="C52" s="41" t="s">
        <v>90</v>
      </c>
      <c r="D52" s="115"/>
      <c r="E52" s="40" t="s">
        <v>20</v>
      </c>
      <c r="F52" s="40" t="s">
        <v>23</v>
      </c>
      <c r="G52" s="42" t="s">
        <v>91</v>
      </c>
      <c r="H52" s="43">
        <v>250000</v>
      </c>
      <c r="I52" s="40" t="s">
        <v>53</v>
      </c>
      <c r="J52" s="40"/>
      <c r="K52" s="210">
        <v>45821</v>
      </c>
      <c r="L52" s="210"/>
      <c r="M52" s="40"/>
    </row>
    <row r="53" spans="1:13">
      <c r="A53" s="39"/>
      <c r="B53" s="40" t="s">
        <v>57</v>
      </c>
      <c r="C53" s="41" t="s">
        <v>92</v>
      </c>
      <c r="D53" s="115"/>
      <c r="E53" s="40" t="s">
        <v>17</v>
      </c>
      <c r="F53" s="40" t="s">
        <v>37</v>
      </c>
      <c r="G53" s="42" t="s">
        <v>93</v>
      </c>
      <c r="H53" s="43">
        <v>250000</v>
      </c>
      <c r="I53" s="40" t="s">
        <v>15</v>
      </c>
      <c r="J53" s="40"/>
      <c r="K53" s="210">
        <v>45847</v>
      </c>
      <c r="L53" s="210"/>
      <c r="M53" s="40" t="s">
        <v>94</v>
      </c>
    </row>
    <row r="54" spans="1:13">
      <c r="A54" s="39"/>
      <c r="B54" s="40" t="s">
        <v>95</v>
      </c>
      <c r="C54" s="41" t="s">
        <v>92</v>
      </c>
      <c r="D54" s="115"/>
      <c r="E54" s="40" t="s">
        <v>17</v>
      </c>
      <c r="F54" s="40" t="s">
        <v>18</v>
      </c>
      <c r="G54" s="42" t="s">
        <v>93</v>
      </c>
      <c r="H54" s="43">
        <v>200000</v>
      </c>
      <c r="I54" s="40" t="s">
        <v>15</v>
      </c>
      <c r="J54" s="40"/>
      <c r="K54" s="210">
        <v>45847</v>
      </c>
      <c r="L54" s="210"/>
      <c r="M54" s="40" t="s">
        <v>94</v>
      </c>
    </row>
    <row r="55" spans="1:13">
      <c r="A55" s="39"/>
      <c r="B55" s="40" t="s">
        <v>96</v>
      </c>
      <c r="C55" s="41" t="s">
        <v>92</v>
      </c>
      <c r="D55" s="115"/>
      <c r="E55" s="40" t="s">
        <v>17</v>
      </c>
      <c r="F55" s="40" t="s">
        <v>44</v>
      </c>
      <c r="G55" s="42" t="s">
        <v>93</v>
      </c>
      <c r="H55" s="43">
        <v>150000</v>
      </c>
      <c r="I55" s="40" t="s">
        <v>15</v>
      </c>
      <c r="J55" s="40"/>
      <c r="K55" s="210">
        <v>45847</v>
      </c>
      <c r="L55" s="210"/>
      <c r="M55" s="40" t="s">
        <v>94</v>
      </c>
    </row>
    <row r="56" spans="1:13">
      <c r="A56" s="39"/>
      <c r="B56" s="40" t="s">
        <v>38</v>
      </c>
      <c r="C56" s="41" t="s">
        <v>92</v>
      </c>
      <c r="D56" s="115"/>
      <c r="E56" s="40" t="s">
        <v>17</v>
      </c>
      <c r="F56" s="40" t="s">
        <v>39</v>
      </c>
      <c r="G56" s="42" t="s">
        <v>93</v>
      </c>
      <c r="H56" s="43">
        <v>150000</v>
      </c>
      <c r="I56" s="40" t="s">
        <v>15</v>
      </c>
      <c r="J56" s="40"/>
      <c r="K56" s="210">
        <v>45847</v>
      </c>
      <c r="L56" s="210"/>
      <c r="M56" s="40" t="s">
        <v>94</v>
      </c>
    </row>
    <row r="57" spans="1:13">
      <c r="A57" s="39"/>
      <c r="B57" s="40" t="s">
        <v>97</v>
      </c>
      <c r="C57" s="41" t="s">
        <v>92</v>
      </c>
      <c r="D57" s="115"/>
      <c r="E57" s="40" t="s">
        <v>12</v>
      </c>
      <c r="F57" s="40" t="s">
        <v>44</v>
      </c>
      <c r="G57" s="42" t="s">
        <v>93</v>
      </c>
      <c r="H57" s="43">
        <v>150000</v>
      </c>
      <c r="I57" s="40" t="s">
        <v>15</v>
      </c>
      <c r="J57" s="40"/>
      <c r="K57" s="210">
        <v>45847</v>
      </c>
      <c r="L57" s="210"/>
      <c r="M57" s="40" t="s">
        <v>94</v>
      </c>
    </row>
    <row r="58" spans="1:13">
      <c r="A58" s="39"/>
      <c r="B58" s="40" t="s">
        <v>71</v>
      </c>
      <c r="C58" s="41" t="s">
        <v>92</v>
      </c>
      <c r="D58" s="115"/>
      <c r="E58" s="40" t="s">
        <v>12</v>
      </c>
      <c r="F58" s="40" t="s">
        <v>37</v>
      </c>
      <c r="G58" s="42" t="s">
        <v>93</v>
      </c>
      <c r="H58" s="43">
        <v>200000</v>
      </c>
      <c r="I58" s="40" t="s">
        <v>15</v>
      </c>
      <c r="J58" s="40"/>
      <c r="K58" s="210">
        <v>45847</v>
      </c>
      <c r="L58" s="210"/>
      <c r="M58" s="40" t="s">
        <v>94</v>
      </c>
    </row>
    <row r="59" spans="1:13">
      <c r="A59" s="39"/>
      <c r="B59" s="40" t="s">
        <v>98</v>
      </c>
      <c r="C59" s="41" t="s">
        <v>92</v>
      </c>
      <c r="D59" s="115"/>
      <c r="E59" s="40" t="s">
        <v>20</v>
      </c>
      <c r="F59" s="40" t="s">
        <v>37</v>
      </c>
      <c r="G59" s="42" t="s">
        <v>93</v>
      </c>
      <c r="H59" s="43">
        <v>200000</v>
      </c>
      <c r="I59" s="40" t="s">
        <v>15</v>
      </c>
      <c r="J59" s="40"/>
      <c r="K59" s="210">
        <v>45847</v>
      </c>
      <c r="L59" s="210"/>
      <c r="M59" s="40" t="s">
        <v>94</v>
      </c>
    </row>
    <row r="60" spans="1:13">
      <c r="A60" s="39"/>
      <c r="B60" s="40" t="s">
        <v>99</v>
      </c>
      <c r="C60" s="41" t="s">
        <v>92</v>
      </c>
      <c r="D60" s="115"/>
      <c r="E60" s="40" t="s">
        <v>20</v>
      </c>
      <c r="F60" s="40" t="s">
        <v>37</v>
      </c>
      <c r="G60" s="42" t="s">
        <v>93</v>
      </c>
      <c r="H60" s="43">
        <v>100000</v>
      </c>
      <c r="I60" s="40" t="s">
        <v>15</v>
      </c>
      <c r="J60" s="40"/>
      <c r="K60" s="210">
        <v>45847</v>
      </c>
      <c r="L60" s="210"/>
      <c r="M60" s="40" t="s">
        <v>94</v>
      </c>
    </row>
    <row r="61" spans="1:13">
      <c r="A61" s="39"/>
      <c r="B61" s="40" t="s">
        <v>100</v>
      </c>
      <c r="C61" s="41" t="s">
        <v>92</v>
      </c>
      <c r="D61" s="115"/>
      <c r="E61" s="40" t="s">
        <v>101</v>
      </c>
      <c r="F61" s="40" t="s">
        <v>37</v>
      </c>
      <c r="G61" s="42" t="s">
        <v>93</v>
      </c>
      <c r="H61" s="43">
        <v>250000</v>
      </c>
      <c r="I61" s="40" t="s">
        <v>15</v>
      </c>
      <c r="J61" s="40"/>
      <c r="K61" s="210">
        <v>45847</v>
      </c>
      <c r="L61" s="210"/>
      <c r="M61" s="40" t="s">
        <v>94</v>
      </c>
    </row>
    <row r="62" spans="1:13">
      <c r="A62" s="39"/>
      <c r="B62" s="40" t="s">
        <v>102</v>
      </c>
      <c r="C62" s="41" t="s">
        <v>92</v>
      </c>
      <c r="D62" s="115"/>
      <c r="E62" s="40" t="s">
        <v>20</v>
      </c>
      <c r="F62" s="40" t="s">
        <v>18</v>
      </c>
      <c r="G62" s="42" t="s">
        <v>93</v>
      </c>
      <c r="H62" s="43">
        <v>200000</v>
      </c>
      <c r="I62" s="40" t="s">
        <v>15</v>
      </c>
      <c r="J62" s="40"/>
      <c r="K62" s="210">
        <v>45847</v>
      </c>
      <c r="L62" s="210"/>
      <c r="M62" s="40" t="s">
        <v>94</v>
      </c>
    </row>
    <row r="63" spans="1:13">
      <c r="A63" s="39"/>
      <c r="B63" s="40" t="s">
        <v>63</v>
      </c>
      <c r="C63" s="41" t="s">
        <v>92</v>
      </c>
      <c r="D63" s="115"/>
      <c r="E63" s="40" t="s">
        <v>12</v>
      </c>
      <c r="F63" s="40" t="s">
        <v>39</v>
      </c>
      <c r="G63" s="42" t="s">
        <v>93</v>
      </c>
      <c r="H63" s="43">
        <v>200000</v>
      </c>
      <c r="I63" s="40" t="s">
        <v>15</v>
      </c>
      <c r="J63" s="40"/>
      <c r="K63" s="210">
        <v>45847</v>
      </c>
      <c r="L63" s="210"/>
      <c r="M63" s="40" t="s">
        <v>94</v>
      </c>
    </row>
    <row r="64" spans="1:13">
      <c r="A64" s="39"/>
      <c r="B64" s="40" t="s">
        <v>103</v>
      </c>
      <c r="C64" s="41" t="s">
        <v>104</v>
      </c>
      <c r="D64" s="115"/>
      <c r="E64" s="40" t="s">
        <v>12</v>
      </c>
      <c r="F64" s="40" t="s">
        <v>44</v>
      </c>
      <c r="G64" s="42" t="s">
        <v>105</v>
      </c>
      <c r="H64" s="43">
        <v>150000</v>
      </c>
      <c r="I64" s="40" t="s">
        <v>25</v>
      </c>
      <c r="J64" s="40"/>
      <c r="K64" s="210">
        <v>45852</v>
      </c>
      <c r="L64" s="210"/>
      <c r="M64" s="40" t="s">
        <v>94</v>
      </c>
    </row>
    <row r="65" spans="1:13">
      <c r="A65" s="39"/>
      <c r="B65" s="40" t="s">
        <v>106</v>
      </c>
      <c r="C65" s="41" t="s">
        <v>104</v>
      </c>
      <c r="D65" s="115"/>
      <c r="E65" s="40" t="s">
        <v>107</v>
      </c>
      <c r="F65" s="40" t="s">
        <v>18</v>
      </c>
      <c r="G65" s="42" t="s">
        <v>105</v>
      </c>
      <c r="H65" s="43">
        <v>50000</v>
      </c>
      <c r="I65" s="40" t="s">
        <v>25</v>
      </c>
      <c r="J65" s="40"/>
      <c r="K65" s="210">
        <v>45852</v>
      </c>
      <c r="L65" s="210"/>
      <c r="M65" s="40" t="s">
        <v>94</v>
      </c>
    </row>
    <row r="66" spans="1:13">
      <c r="A66" s="39"/>
      <c r="B66" s="40" t="s">
        <v>108</v>
      </c>
      <c r="C66" s="41" t="s">
        <v>104</v>
      </c>
      <c r="D66" s="115"/>
      <c r="E66" s="40" t="s">
        <v>20</v>
      </c>
      <c r="F66" s="40" t="s">
        <v>23</v>
      </c>
      <c r="G66" s="42" t="s">
        <v>105</v>
      </c>
      <c r="H66" s="43">
        <v>50000</v>
      </c>
      <c r="I66" s="40" t="s">
        <v>25</v>
      </c>
      <c r="J66" s="40"/>
      <c r="K66" s="210">
        <v>45852</v>
      </c>
      <c r="L66" s="210"/>
      <c r="M66" s="40" t="s">
        <v>94</v>
      </c>
    </row>
    <row r="67" spans="1:13">
      <c r="A67" s="39"/>
      <c r="B67" s="40"/>
      <c r="C67" s="41"/>
      <c r="D67" s="115"/>
      <c r="E67" s="40"/>
      <c r="F67" s="40"/>
      <c r="G67" s="42"/>
      <c r="H67" s="43"/>
      <c r="I67" s="40"/>
      <c r="J67" s="40"/>
      <c r="K67" s="210"/>
      <c r="L67" s="210"/>
      <c r="M67" s="40"/>
    </row>
    <row r="68" spans="1:13">
      <c r="A68" s="39"/>
      <c r="B68" s="42" t="s">
        <v>109</v>
      </c>
      <c r="C68" s="45" t="s">
        <v>110</v>
      </c>
      <c r="D68" s="158"/>
      <c r="E68" s="42" t="s">
        <v>111</v>
      </c>
      <c r="F68" s="42" t="s">
        <v>39</v>
      </c>
      <c r="G68" s="42" t="s">
        <v>112</v>
      </c>
      <c r="H68" s="43">
        <v>50000</v>
      </c>
      <c r="I68" s="42" t="s">
        <v>25</v>
      </c>
      <c r="J68" s="42"/>
      <c r="K68" s="211">
        <v>45861</v>
      </c>
      <c r="L68" s="211"/>
      <c r="M68" s="42"/>
    </row>
    <row r="69" spans="1:13">
      <c r="A69" s="39"/>
      <c r="B69" s="42" t="s">
        <v>57</v>
      </c>
      <c r="C69" s="45" t="s">
        <v>110</v>
      </c>
      <c r="D69" s="158"/>
      <c r="E69" s="42" t="s">
        <v>17</v>
      </c>
      <c r="F69" s="42" t="s">
        <v>37</v>
      </c>
      <c r="G69" s="42" t="s">
        <v>112</v>
      </c>
      <c r="H69" s="43">
        <v>75000</v>
      </c>
      <c r="I69" s="42" t="s">
        <v>25</v>
      </c>
      <c r="J69" s="42"/>
      <c r="K69" s="211">
        <v>45861</v>
      </c>
      <c r="L69" s="211"/>
      <c r="M69" s="42"/>
    </row>
    <row r="70" spans="1:13">
      <c r="A70" s="39"/>
      <c r="B70" s="42" t="s">
        <v>103</v>
      </c>
      <c r="C70" s="45" t="s">
        <v>110</v>
      </c>
      <c r="D70" s="158"/>
      <c r="E70" s="42" t="s">
        <v>12</v>
      </c>
      <c r="F70" s="42" t="s">
        <v>44</v>
      </c>
      <c r="G70" s="42" t="s">
        <v>112</v>
      </c>
      <c r="H70" s="43">
        <v>100000</v>
      </c>
      <c r="I70" s="42" t="s">
        <v>25</v>
      </c>
      <c r="J70" s="42"/>
      <c r="K70" s="211">
        <v>45861</v>
      </c>
      <c r="L70" s="211"/>
      <c r="M70" s="42"/>
    </row>
    <row r="71" spans="1:13">
      <c r="A71" s="39"/>
      <c r="B71" s="42" t="s">
        <v>113</v>
      </c>
      <c r="C71" s="45" t="s">
        <v>110</v>
      </c>
      <c r="D71" s="158"/>
      <c r="E71" s="42" t="s">
        <v>17</v>
      </c>
      <c r="F71" s="42" t="s">
        <v>114</v>
      </c>
      <c r="G71" s="42" t="s">
        <v>112</v>
      </c>
      <c r="H71" s="43">
        <v>50000</v>
      </c>
      <c r="I71" s="42" t="s">
        <v>25</v>
      </c>
      <c r="J71" s="42"/>
      <c r="K71" s="211">
        <v>45861</v>
      </c>
      <c r="L71" s="211"/>
      <c r="M71" s="42"/>
    </row>
    <row r="72" spans="1:13">
      <c r="A72" s="39"/>
      <c r="B72" s="42" t="s">
        <v>115</v>
      </c>
      <c r="C72" s="45" t="s">
        <v>110</v>
      </c>
      <c r="D72" s="158"/>
      <c r="E72" s="42" t="s">
        <v>17</v>
      </c>
      <c r="F72" s="42" t="s">
        <v>44</v>
      </c>
      <c r="G72" s="42" t="s">
        <v>112</v>
      </c>
      <c r="H72" s="43">
        <v>25000</v>
      </c>
      <c r="I72" s="42" t="s">
        <v>25</v>
      </c>
      <c r="J72" s="42"/>
      <c r="K72" s="211">
        <v>45861</v>
      </c>
      <c r="L72" s="211"/>
      <c r="M72" s="42"/>
    </row>
    <row r="73" spans="1:13">
      <c r="A73" s="39"/>
      <c r="B73" s="42" t="s">
        <v>106</v>
      </c>
      <c r="C73" s="45" t="s">
        <v>110</v>
      </c>
      <c r="D73" s="158"/>
      <c r="E73" s="42" t="s">
        <v>20</v>
      </c>
      <c r="F73" s="42" t="s">
        <v>18</v>
      </c>
      <c r="G73" s="42" t="s">
        <v>112</v>
      </c>
      <c r="H73" s="43">
        <v>50000</v>
      </c>
      <c r="I73" s="42" t="s">
        <v>25</v>
      </c>
      <c r="J73" s="42"/>
      <c r="K73" s="211">
        <v>45861</v>
      </c>
      <c r="L73" s="211"/>
      <c r="M73" s="42"/>
    </row>
    <row r="74" spans="1:13">
      <c r="A74" s="39"/>
      <c r="B74" s="42" t="s">
        <v>21</v>
      </c>
      <c r="C74" s="45" t="s">
        <v>110</v>
      </c>
      <c r="D74" s="158"/>
      <c r="E74" s="42" t="s">
        <v>20</v>
      </c>
      <c r="F74" s="42" t="s">
        <v>23</v>
      </c>
      <c r="G74" s="42" t="s">
        <v>112</v>
      </c>
      <c r="H74" s="43">
        <v>150000</v>
      </c>
      <c r="I74" s="42" t="s">
        <v>25</v>
      </c>
      <c r="J74" s="42"/>
      <c r="K74" s="211">
        <v>45861</v>
      </c>
      <c r="L74" s="211"/>
      <c r="M74" s="42"/>
    </row>
    <row r="75" spans="1:13">
      <c r="A75" s="39"/>
      <c r="B75" s="42" t="s">
        <v>116</v>
      </c>
      <c r="C75" s="45" t="s">
        <v>110</v>
      </c>
      <c r="D75" s="158"/>
      <c r="E75" s="42" t="s">
        <v>12</v>
      </c>
      <c r="F75" s="42" t="s">
        <v>37</v>
      </c>
      <c r="G75" s="42" t="s">
        <v>112</v>
      </c>
      <c r="H75" s="43">
        <v>100000</v>
      </c>
      <c r="I75" s="42" t="s">
        <v>25</v>
      </c>
      <c r="J75" s="42"/>
      <c r="K75" s="211">
        <v>45861</v>
      </c>
      <c r="L75" s="211"/>
      <c r="M75" s="42"/>
    </row>
    <row r="76" spans="1:13">
      <c r="A76" s="39"/>
      <c r="B76" s="42" t="s">
        <v>117</v>
      </c>
      <c r="C76" s="45" t="s">
        <v>110</v>
      </c>
      <c r="D76" s="158"/>
      <c r="E76" s="42" t="s">
        <v>12</v>
      </c>
      <c r="F76" s="42" t="s">
        <v>23</v>
      </c>
      <c r="G76" s="42" t="s">
        <v>112</v>
      </c>
      <c r="H76" s="43">
        <v>60000</v>
      </c>
      <c r="I76" s="42" t="s">
        <v>25</v>
      </c>
      <c r="J76" s="42"/>
      <c r="K76" s="211">
        <v>45861</v>
      </c>
      <c r="L76" s="211"/>
      <c r="M76" s="42"/>
    </row>
    <row r="77" spans="1:13">
      <c r="A77" s="39"/>
      <c r="B77" s="42" t="s">
        <v>118</v>
      </c>
      <c r="C77" s="45" t="s">
        <v>110</v>
      </c>
      <c r="D77" s="158"/>
      <c r="E77" s="42" t="s">
        <v>20</v>
      </c>
      <c r="F77" s="42" t="s">
        <v>18</v>
      </c>
      <c r="G77" s="42" t="s">
        <v>112</v>
      </c>
      <c r="H77" s="43">
        <v>70000</v>
      </c>
      <c r="I77" s="42" t="s">
        <v>25</v>
      </c>
      <c r="J77" s="42"/>
      <c r="K77" s="211">
        <v>45861</v>
      </c>
      <c r="L77" s="211"/>
      <c r="M77" s="42"/>
    </row>
    <row r="78" spans="1:13" ht="13">
      <c r="A78" s="39"/>
      <c r="B78" s="40" t="s">
        <v>119</v>
      </c>
      <c r="C78" s="41" t="s">
        <v>120</v>
      </c>
      <c r="D78" s="115"/>
      <c r="E78" s="40" t="s">
        <v>20</v>
      </c>
      <c r="F78" s="40" t="s">
        <v>37</v>
      </c>
      <c r="G78" s="42" t="s">
        <v>121</v>
      </c>
      <c r="H78" s="43">
        <v>250000</v>
      </c>
      <c r="I78" s="40" t="s">
        <v>15</v>
      </c>
      <c r="J78" s="40"/>
      <c r="K78" s="210">
        <v>45860</v>
      </c>
      <c r="L78" s="210"/>
      <c r="M78" s="48"/>
    </row>
    <row r="79" spans="1:13">
      <c r="A79" s="39"/>
      <c r="B79" s="40" t="s">
        <v>122</v>
      </c>
      <c r="C79" s="41" t="s">
        <v>120</v>
      </c>
      <c r="D79" s="115"/>
      <c r="E79" s="40" t="s">
        <v>12</v>
      </c>
      <c r="F79" s="40" t="s">
        <v>18</v>
      </c>
      <c r="G79" s="42" t="s">
        <v>121</v>
      </c>
      <c r="H79" s="43">
        <v>100000</v>
      </c>
      <c r="I79" s="40" t="s">
        <v>15</v>
      </c>
      <c r="J79" s="40"/>
      <c r="K79" s="210">
        <v>45860</v>
      </c>
      <c r="L79" s="210"/>
      <c r="M79" s="40"/>
    </row>
    <row r="80" spans="1:13">
      <c r="A80" s="39"/>
      <c r="B80" s="40" t="s">
        <v>58</v>
      </c>
      <c r="C80" s="41" t="s">
        <v>120</v>
      </c>
      <c r="D80" s="115"/>
      <c r="E80" s="40" t="s">
        <v>12</v>
      </c>
      <c r="F80" s="40" t="s">
        <v>18</v>
      </c>
      <c r="G80" s="42" t="s">
        <v>121</v>
      </c>
      <c r="H80" s="43">
        <v>200000</v>
      </c>
      <c r="I80" s="40" t="s">
        <v>15</v>
      </c>
      <c r="J80" s="40"/>
      <c r="K80" s="210">
        <v>45860</v>
      </c>
      <c r="L80" s="210"/>
      <c r="M80" s="40"/>
    </row>
    <row r="81" spans="1:13">
      <c r="A81" s="39"/>
      <c r="B81" s="40" t="s">
        <v>100</v>
      </c>
      <c r="C81" s="41" t="s">
        <v>120</v>
      </c>
      <c r="D81" s="115"/>
      <c r="E81" s="40" t="s">
        <v>101</v>
      </c>
      <c r="F81" s="40" t="s">
        <v>37</v>
      </c>
      <c r="G81" s="42" t="s">
        <v>121</v>
      </c>
      <c r="H81" s="43">
        <v>250000</v>
      </c>
      <c r="I81" s="40" t="s">
        <v>15</v>
      </c>
      <c r="J81" s="40"/>
      <c r="K81" s="210">
        <v>45860</v>
      </c>
      <c r="L81" s="210"/>
      <c r="M81" s="40"/>
    </row>
    <row r="82" spans="1:13">
      <c r="A82" s="39"/>
      <c r="B82" s="40" t="s">
        <v>123</v>
      </c>
      <c r="C82" s="41" t="s">
        <v>120</v>
      </c>
      <c r="D82" s="115"/>
      <c r="E82" s="40" t="s">
        <v>17</v>
      </c>
      <c r="F82" s="40" t="s">
        <v>114</v>
      </c>
      <c r="G82" s="42" t="s">
        <v>121</v>
      </c>
      <c r="H82" s="43">
        <v>150000</v>
      </c>
      <c r="I82" s="40" t="s">
        <v>15</v>
      </c>
      <c r="J82" s="40"/>
      <c r="K82" s="210">
        <v>45860</v>
      </c>
      <c r="L82" s="210"/>
      <c r="M82" s="40"/>
    </row>
    <row r="83" spans="1:13">
      <c r="A83" s="39"/>
      <c r="B83" s="46" t="s">
        <v>124</v>
      </c>
      <c r="C83" s="41" t="s">
        <v>120</v>
      </c>
      <c r="D83" s="115"/>
      <c r="E83" s="40" t="s">
        <v>12</v>
      </c>
      <c r="F83" s="46" t="s">
        <v>37</v>
      </c>
      <c r="G83" s="47" t="s">
        <v>121</v>
      </c>
      <c r="H83" s="49">
        <v>300000</v>
      </c>
      <c r="I83" s="40" t="s">
        <v>15</v>
      </c>
      <c r="J83" s="40"/>
      <c r="K83" s="210">
        <v>45860</v>
      </c>
      <c r="L83" s="210"/>
      <c r="M83" s="40"/>
    </row>
    <row r="84" spans="1:13">
      <c r="A84" s="39"/>
      <c r="B84" s="50" t="s">
        <v>125</v>
      </c>
      <c r="C84" s="41" t="s">
        <v>120</v>
      </c>
      <c r="D84" s="115"/>
      <c r="E84" s="40" t="s">
        <v>17</v>
      </c>
      <c r="F84" s="46" t="s">
        <v>44</v>
      </c>
      <c r="G84" s="47" t="s">
        <v>121</v>
      </c>
      <c r="H84" s="49">
        <v>150000</v>
      </c>
      <c r="I84" s="40" t="s">
        <v>15</v>
      </c>
      <c r="J84" s="40"/>
      <c r="K84" s="210">
        <v>45860</v>
      </c>
      <c r="L84" s="210"/>
      <c r="M84" s="40"/>
    </row>
    <row r="85" spans="1:13">
      <c r="A85" s="204"/>
      <c r="B85" s="40" t="s">
        <v>126</v>
      </c>
      <c r="C85" s="41" t="s">
        <v>120</v>
      </c>
      <c r="D85" s="115"/>
      <c r="E85" s="40" t="s">
        <v>20</v>
      </c>
      <c r="F85" s="40" t="s">
        <v>18</v>
      </c>
      <c r="G85" s="42" t="s">
        <v>121</v>
      </c>
      <c r="H85" s="203">
        <v>250000</v>
      </c>
      <c r="I85" s="40" t="s">
        <v>15</v>
      </c>
      <c r="J85" s="40"/>
      <c r="K85" s="210">
        <v>45860</v>
      </c>
      <c r="L85" s="210"/>
      <c r="M85" s="40"/>
    </row>
    <row r="86" spans="1:13">
      <c r="A86" s="39"/>
      <c r="B86" s="46" t="s">
        <v>127</v>
      </c>
      <c r="C86" s="41" t="s">
        <v>120</v>
      </c>
      <c r="D86" s="115"/>
      <c r="E86" s="40" t="s">
        <v>20</v>
      </c>
      <c r="F86" s="46" t="s">
        <v>37</v>
      </c>
      <c r="G86" s="47" t="s">
        <v>121</v>
      </c>
      <c r="H86" s="49">
        <v>150000</v>
      </c>
      <c r="I86" s="40" t="s">
        <v>15</v>
      </c>
      <c r="J86" s="40"/>
      <c r="K86" s="210">
        <v>45860</v>
      </c>
      <c r="L86" s="210"/>
      <c r="M86" s="40"/>
    </row>
    <row r="87" spans="1:13">
      <c r="A87" s="39"/>
      <c r="B87" s="46" t="s">
        <v>128</v>
      </c>
      <c r="C87" s="41" t="s">
        <v>120</v>
      </c>
      <c r="D87" s="115"/>
      <c r="E87" s="40" t="s">
        <v>20</v>
      </c>
      <c r="F87" s="46" t="s">
        <v>44</v>
      </c>
      <c r="G87" s="47" t="s">
        <v>121</v>
      </c>
      <c r="H87" s="49">
        <v>150000</v>
      </c>
      <c r="I87" s="40" t="s">
        <v>15</v>
      </c>
      <c r="J87" s="40"/>
      <c r="K87" s="210">
        <v>45860</v>
      </c>
      <c r="L87" s="210"/>
      <c r="M87" s="40"/>
    </row>
    <row r="88" spans="1:13">
      <c r="A88" s="39"/>
      <c r="B88" s="46" t="s">
        <v>45</v>
      </c>
      <c r="C88" s="41" t="s">
        <v>120</v>
      </c>
      <c r="D88" s="115"/>
      <c r="E88" s="40" t="s">
        <v>20</v>
      </c>
      <c r="F88" s="46" t="s">
        <v>18</v>
      </c>
      <c r="G88" s="47" t="s">
        <v>121</v>
      </c>
      <c r="H88" s="49">
        <v>450000</v>
      </c>
      <c r="I88" s="40" t="s">
        <v>15</v>
      </c>
      <c r="J88" s="40"/>
      <c r="K88" s="210">
        <v>45860</v>
      </c>
      <c r="L88" s="210"/>
      <c r="M88" s="40"/>
    </row>
    <row r="89" spans="1:13">
      <c r="A89" s="39"/>
      <c r="B89" s="42" t="s">
        <v>106</v>
      </c>
      <c r="C89" s="41" t="s">
        <v>120</v>
      </c>
      <c r="D89" s="115"/>
      <c r="E89" s="40" t="s">
        <v>20</v>
      </c>
      <c r="F89" s="40" t="s">
        <v>18</v>
      </c>
      <c r="G89" s="42" t="s">
        <v>121</v>
      </c>
      <c r="H89" s="43">
        <v>500000</v>
      </c>
      <c r="I89" s="40" t="s">
        <v>15</v>
      </c>
      <c r="J89" s="40"/>
      <c r="K89" s="210">
        <v>45860</v>
      </c>
      <c r="L89" s="210"/>
      <c r="M89" s="40"/>
    </row>
    <row r="90" spans="1:13">
      <c r="A90" s="39"/>
      <c r="B90" s="40" t="s">
        <v>71</v>
      </c>
      <c r="C90" s="41" t="s">
        <v>120</v>
      </c>
      <c r="D90" s="115"/>
      <c r="E90" s="40" t="s">
        <v>12</v>
      </c>
      <c r="F90" s="40" t="s">
        <v>37</v>
      </c>
      <c r="G90" s="42" t="s">
        <v>121</v>
      </c>
      <c r="H90" s="43">
        <v>100000</v>
      </c>
      <c r="I90" s="40" t="s">
        <v>15</v>
      </c>
      <c r="J90" s="40"/>
      <c r="K90" s="210">
        <v>45860</v>
      </c>
      <c r="L90" s="210"/>
      <c r="M90" s="40"/>
    </row>
    <row r="91" spans="1:13">
      <c r="A91" s="39"/>
      <c r="B91" s="40"/>
      <c r="C91" s="41"/>
      <c r="D91" s="115"/>
      <c r="E91" s="40"/>
      <c r="F91" s="40"/>
      <c r="G91" s="42"/>
      <c r="H91" s="43"/>
      <c r="I91" s="40"/>
      <c r="J91" s="40"/>
      <c r="K91" s="210"/>
      <c r="L91" s="210"/>
      <c r="M91" s="40"/>
    </row>
    <row r="92" spans="1:13">
      <c r="A92" s="39"/>
      <c r="B92" s="40" t="s">
        <v>68</v>
      </c>
      <c r="C92" s="41" t="s">
        <v>129</v>
      </c>
      <c r="D92" s="115"/>
      <c r="E92" s="40" t="s">
        <v>20</v>
      </c>
      <c r="F92" s="40" t="s">
        <v>23</v>
      </c>
      <c r="G92" s="40" t="s">
        <v>130</v>
      </c>
      <c r="H92" s="43">
        <v>275000</v>
      </c>
      <c r="I92" s="40" t="s">
        <v>53</v>
      </c>
      <c r="J92" s="40"/>
      <c r="K92" s="210">
        <v>45880</v>
      </c>
      <c r="L92" s="210"/>
      <c r="M92" s="40" t="s">
        <v>131</v>
      </c>
    </row>
    <row r="93" spans="1:13">
      <c r="A93" s="39"/>
      <c r="B93" s="40" t="s">
        <v>50</v>
      </c>
      <c r="C93" s="41" t="s">
        <v>129</v>
      </c>
      <c r="D93" s="115"/>
      <c r="E93" s="40" t="s">
        <v>20</v>
      </c>
      <c r="F93" s="40" t="s">
        <v>23</v>
      </c>
      <c r="G93" s="40" t="s">
        <v>130</v>
      </c>
      <c r="H93" s="43">
        <v>275000</v>
      </c>
      <c r="I93" s="40" t="s">
        <v>53</v>
      </c>
      <c r="J93" s="40"/>
      <c r="K93" s="210">
        <v>45880</v>
      </c>
      <c r="L93" s="210"/>
      <c r="M93" s="40" t="s">
        <v>131</v>
      </c>
    </row>
    <row r="94" spans="1:13">
      <c r="A94" s="39"/>
      <c r="B94" s="40"/>
      <c r="C94" s="41"/>
      <c r="D94" s="115"/>
      <c r="E94" s="40"/>
      <c r="F94" s="40"/>
      <c r="G94" s="40"/>
      <c r="H94" s="43"/>
      <c r="I94" s="40"/>
      <c r="J94" s="40"/>
      <c r="K94" s="210"/>
      <c r="L94" s="210"/>
      <c r="M94" s="40"/>
    </row>
    <row r="95" spans="1:13">
      <c r="A95" s="39"/>
      <c r="B95" s="40" t="s">
        <v>106</v>
      </c>
      <c r="C95" s="41" t="s">
        <v>132</v>
      </c>
      <c r="D95" s="115"/>
      <c r="E95" s="40" t="s">
        <v>20</v>
      </c>
      <c r="F95" s="40" t="s">
        <v>18</v>
      </c>
      <c r="G95" s="40" t="s">
        <v>133</v>
      </c>
      <c r="H95" s="43">
        <v>100000</v>
      </c>
      <c r="I95" s="40" t="s">
        <v>25</v>
      </c>
      <c r="J95" s="40"/>
      <c r="K95" s="210">
        <v>45880</v>
      </c>
      <c r="L95" s="210"/>
      <c r="M95" s="40" t="s">
        <v>131</v>
      </c>
    </row>
    <row r="96" spans="1:13">
      <c r="A96" s="39"/>
      <c r="B96" s="42" t="s">
        <v>21</v>
      </c>
      <c r="C96" s="41" t="s">
        <v>132</v>
      </c>
      <c r="D96" s="115"/>
      <c r="E96" s="40" t="s">
        <v>20</v>
      </c>
      <c r="F96" s="40" t="s">
        <v>23</v>
      </c>
      <c r="G96" s="40" t="s">
        <v>133</v>
      </c>
      <c r="H96" s="43">
        <v>250000</v>
      </c>
      <c r="I96" s="40" t="s">
        <v>25</v>
      </c>
      <c r="J96" s="40"/>
      <c r="K96" s="210">
        <v>45880</v>
      </c>
      <c r="L96" s="210"/>
      <c r="M96" s="40" t="s">
        <v>131</v>
      </c>
    </row>
    <row r="97" spans="1:13">
      <c r="A97" s="39"/>
      <c r="B97" s="40" t="s">
        <v>134</v>
      </c>
      <c r="C97" s="41" t="s">
        <v>132</v>
      </c>
      <c r="D97" s="115"/>
      <c r="E97" s="40" t="s">
        <v>20</v>
      </c>
      <c r="F97" s="40" t="s">
        <v>18</v>
      </c>
      <c r="G97" s="40" t="s">
        <v>133</v>
      </c>
      <c r="H97" s="43">
        <v>70000</v>
      </c>
      <c r="I97" s="40" t="s">
        <v>25</v>
      </c>
      <c r="J97" s="40"/>
      <c r="K97" s="210">
        <v>45880</v>
      </c>
      <c r="L97" s="210"/>
      <c r="M97" s="40" t="s">
        <v>131</v>
      </c>
    </row>
    <row r="98" spans="1:13">
      <c r="A98" s="39"/>
      <c r="B98" s="40" t="s">
        <v>57</v>
      </c>
      <c r="C98" s="41" t="s">
        <v>132</v>
      </c>
      <c r="D98" s="115"/>
      <c r="E98" s="40" t="s">
        <v>17</v>
      </c>
      <c r="F98" s="40" t="s">
        <v>37</v>
      </c>
      <c r="G98" s="40" t="s">
        <v>133</v>
      </c>
      <c r="H98" s="43">
        <v>50000</v>
      </c>
      <c r="I98" s="40" t="s">
        <v>25</v>
      </c>
      <c r="J98" s="40"/>
      <c r="K98" s="210">
        <v>45880</v>
      </c>
      <c r="L98" s="210"/>
      <c r="M98" s="40" t="s">
        <v>131</v>
      </c>
    </row>
    <row r="99" spans="1:13">
      <c r="A99" s="39"/>
      <c r="B99" s="40" t="s">
        <v>135</v>
      </c>
      <c r="C99" s="41" t="s">
        <v>132</v>
      </c>
      <c r="D99" s="115"/>
      <c r="E99" s="40" t="s">
        <v>12</v>
      </c>
      <c r="F99" s="40" t="s">
        <v>44</v>
      </c>
      <c r="G99" s="40" t="s">
        <v>133</v>
      </c>
      <c r="H99" s="43">
        <v>50000</v>
      </c>
      <c r="I99" s="40" t="s">
        <v>25</v>
      </c>
      <c r="J99" s="40"/>
      <c r="K99" s="210">
        <v>45880</v>
      </c>
      <c r="L99" s="210"/>
      <c r="M99" s="40" t="s">
        <v>131</v>
      </c>
    </row>
    <row r="100" spans="1:13">
      <c r="A100" s="39"/>
      <c r="B100" s="40" t="s">
        <v>103</v>
      </c>
      <c r="C100" s="41" t="s">
        <v>132</v>
      </c>
      <c r="D100" s="115"/>
      <c r="E100" s="40" t="s">
        <v>12</v>
      </c>
      <c r="F100" s="40" t="s">
        <v>44</v>
      </c>
      <c r="G100" s="40" t="s">
        <v>133</v>
      </c>
      <c r="H100" s="43">
        <v>100000</v>
      </c>
      <c r="I100" s="40" t="s">
        <v>25</v>
      </c>
      <c r="J100" s="40"/>
      <c r="K100" s="210">
        <v>45880</v>
      </c>
      <c r="L100" s="210"/>
      <c r="M100" s="40" t="s">
        <v>131</v>
      </c>
    </row>
    <row r="101" spans="1:13">
      <c r="A101" s="39"/>
      <c r="B101" s="40" t="s">
        <v>45</v>
      </c>
      <c r="C101" s="41" t="s">
        <v>132</v>
      </c>
      <c r="D101" s="115"/>
      <c r="E101" s="40" t="s">
        <v>20</v>
      </c>
      <c r="F101" s="40" t="s">
        <v>18</v>
      </c>
      <c r="G101" s="40" t="s">
        <v>133</v>
      </c>
      <c r="H101" s="43">
        <v>50000</v>
      </c>
      <c r="I101" s="40" t="s">
        <v>25</v>
      </c>
      <c r="J101" s="40"/>
      <c r="K101" s="210">
        <v>45880</v>
      </c>
      <c r="L101" s="210"/>
      <c r="M101" s="40" t="s">
        <v>131</v>
      </c>
    </row>
    <row r="102" spans="1:13">
      <c r="A102" s="39"/>
      <c r="B102" s="40" t="s">
        <v>77</v>
      </c>
      <c r="C102" s="41" t="s">
        <v>132</v>
      </c>
      <c r="D102" s="115"/>
      <c r="E102" s="40" t="s">
        <v>20</v>
      </c>
      <c r="F102" s="40" t="s">
        <v>78</v>
      </c>
      <c r="G102" s="40" t="s">
        <v>133</v>
      </c>
      <c r="H102" s="43">
        <v>30000</v>
      </c>
      <c r="I102" s="51" t="s">
        <v>25</v>
      </c>
      <c r="J102" s="51"/>
      <c r="K102" s="210">
        <v>45880</v>
      </c>
      <c r="L102" s="210"/>
      <c r="M102" s="40" t="s">
        <v>131</v>
      </c>
    </row>
    <row r="103" spans="1:13">
      <c r="A103" s="39"/>
      <c r="B103" s="40"/>
      <c r="C103" s="41"/>
      <c r="D103" s="115"/>
      <c r="E103" s="40"/>
      <c r="F103" s="40"/>
      <c r="G103" s="40"/>
      <c r="H103" s="43"/>
      <c r="I103" s="51"/>
      <c r="J103" s="51"/>
      <c r="K103" s="210"/>
      <c r="L103" s="210"/>
      <c r="M103" s="40"/>
    </row>
    <row r="104" spans="1:13">
      <c r="A104" s="39"/>
      <c r="B104" s="42" t="s">
        <v>119</v>
      </c>
      <c r="C104" s="45" t="s">
        <v>136</v>
      </c>
      <c r="D104" s="158"/>
      <c r="E104" s="42" t="s">
        <v>137</v>
      </c>
      <c r="F104" s="42" t="s">
        <v>37</v>
      </c>
      <c r="G104" s="42" t="s">
        <v>138</v>
      </c>
      <c r="H104" s="43">
        <v>150000</v>
      </c>
      <c r="I104" s="52" t="s">
        <v>15</v>
      </c>
      <c r="J104" s="52"/>
      <c r="K104" s="211">
        <v>45880</v>
      </c>
      <c r="L104" s="211"/>
      <c r="M104" s="42" t="s">
        <v>94</v>
      </c>
    </row>
    <row r="105" spans="1:13">
      <c r="A105" s="39"/>
      <c r="B105" s="42" t="s">
        <v>81</v>
      </c>
      <c r="C105" s="45" t="s">
        <v>136</v>
      </c>
      <c r="D105" s="158"/>
      <c r="E105" s="42" t="s">
        <v>137</v>
      </c>
      <c r="F105" s="42" t="s">
        <v>18</v>
      </c>
      <c r="G105" s="42" t="s">
        <v>138</v>
      </c>
      <c r="H105" s="43">
        <v>250000</v>
      </c>
      <c r="I105" s="52" t="s">
        <v>15</v>
      </c>
      <c r="J105" s="52"/>
      <c r="K105" s="211">
        <v>45880</v>
      </c>
      <c r="L105" s="211"/>
      <c r="M105" s="42" t="s">
        <v>94</v>
      </c>
    </row>
    <row r="106" spans="1:13">
      <c r="A106" s="204"/>
      <c r="B106" s="42" t="s">
        <v>126</v>
      </c>
      <c r="C106" s="45" t="s">
        <v>136</v>
      </c>
      <c r="D106" s="158"/>
      <c r="E106" s="42" t="s">
        <v>137</v>
      </c>
      <c r="F106" s="42" t="s">
        <v>18</v>
      </c>
      <c r="G106" s="42" t="s">
        <v>138</v>
      </c>
      <c r="H106" s="203">
        <v>250000</v>
      </c>
      <c r="I106" s="52" t="s">
        <v>15</v>
      </c>
      <c r="J106" s="52"/>
      <c r="K106" s="211">
        <v>45880</v>
      </c>
      <c r="L106" s="211"/>
      <c r="M106" s="42" t="s">
        <v>94</v>
      </c>
    </row>
    <row r="107" spans="1:13">
      <c r="A107" s="39"/>
      <c r="B107" s="42" t="s">
        <v>139</v>
      </c>
      <c r="C107" s="45" t="s">
        <v>136</v>
      </c>
      <c r="D107" s="158"/>
      <c r="E107" s="42" t="s">
        <v>20</v>
      </c>
      <c r="F107" s="42" t="s">
        <v>44</v>
      </c>
      <c r="G107" s="42" t="s">
        <v>138</v>
      </c>
      <c r="H107" s="43">
        <v>250000</v>
      </c>
      <c r="I107" s="52" t="s">
        <v>15</v>
      </c>
      <c r="J107" s="52"/>
      <c r="K107" s="211">
        <v>45880</v>
      </c>
      <c r="L107" s="211"/>
      <c r="M107" s="42" t="s">
        <v>94</v>
      </c>
    </row>
    <row r="108" spans="1:13">
      <c r="A108" s="39"/>
      <c r="B108" s="42" t="s">
        <v>100</v>
      </c>
      <c r="C108" s="45" t="s">
        <v>136</v>
      </c>
      <c r="D108" s="158"/>
      <c r="E108" s="42" t="s">
        <v>101</v>
      </c>
      <c r="F108" s="42" t="s">
        <v>37</v>
      </c>
      <c r="G108" s="42" t="s">
        <v>138</v>
      </c>
      <c r="H108" s="43">
        <v>200000</v>
      </c>
      <c r="I108" s="52" t="s">
        <v>15</v>
      </c>
      <c r="J108" s="52"/>
      <c r="K108" s="211">
        <v>45880</v>
      </c>
      <c r="L108" s="211"/>
      <c r="M108" s="42" t="s">
        <v>94</v>
      </c>
    </row>
    <row r="109" spans="1:13">
      <c r="A109" s="39"/>
      <c r="B109" s="42" t="s">
        <v>140</v>
      </c>
      <c r="C109" s="45" t="s">
        <v>136</v>
      </c>
      <c r="D109" s="158"/>
      <c r="E109" s="42" t="s">
        <v>20</v>
      </c>
      <c r="F109" s="42" t="s">
        <v>37</v>
      </c>
      <c r="G109" s="42" t="s">
        <v>138</v>
      </c>
      <c r="H109" s="43">
        <v>200000</v>
      </c>
      <c r="I109" s="52" t="s">
        <v>15</v>
      </c>
      <c r="J109" s="52"/>
      <c r="K109" s="211">
        <v>45880</v>
      </c>
      <c r="L109" s="211"/>
      <c r="M109" s="42" t="s">
        <v>94</v>
      </c>
    </row>
    <row r="110" spans="1:13">
      <c r="A110" s="39"/>
      <c r="B110" s="42" t="s">
        <v>141</v>
      </c>
      <c r="C110" s="45" t="s">
        <v>136</v>
      </c>
      <c r="D110" s="158"/>
      <c r="E110" s="42" t="s">
        <v>17</v>
      </c>
      <c r="F110" s="42" t="s">
        <v>44</v>
      </c>
      <c r="G110" s="42" t="s">
        <v>138</v>
      </c>
      <c r="H110" s="43">
        <v>150000</v>
      </c>
      <c r="I110" s="52" t="s">
        <v>15</v>
      </c>
      <c r="J110" s="52"/>
      <c r="K110" s="211">
        <v>45880</v>
      </c>
      <c r="L110" s="211"/>
      <c r="M110" s="42" t="s">
        <v>94</v>
      </c>
    </row>
    <row r="111" spans="1:13">
      <c r="A111" s="39"/>
      <c r="B111" s="42" t="s">
        <v>106</v>
      </c>
      <c r="C111" s="45" t="s">
        <v>136</v>
      </c>
      <c r="D111" s="158"/>
      <c r="E111" s="42" t="s">
        <v>20</v>
      </c>
      <c r="F111" s="42" t="s">
        <v>18</v>
      </c>
      <c r="G111" s="42" t="s">
        <v>138</v>
      </c>
      <c r="H111" s="43">
        <v>750000</v>
      </c>
      <c r="I111" s="42" t="s">
        <v>15</v>
      </c>
      <c r="J111" s="42"/>
      <c r="K111" s="211">
        <v>45880</v>
      </c>
      <c r="L111" s="211"/>
      <c r="M111" s="42" t="s">
        <v>94</v>
      </c>
    </row>
    <row r="112" spans="1:13">
      <c r="A112" s="39"/>
      <c r="B112" s="42" t="s">
        <v>63</v>
      </c>
      <c r="C112" s="45" t="s">
        <v>136</v>
      </c>
      <c r="D112" s="158"/>
      <c r="E112" s="42" t="s">
        <v>12</v>
      </c>
      <c r="F112" s="42" t="s">
        <v>39</v>
      </c>
      <c r="G112" s="42" t="s">
        <v>138</v>
      </c>
      <c r="H112" s="43">
        <v>150000</v>
      </c>
      <c r="I112" s="42" t="s">
        <v>15</v>
      </c>
      <c r="J112" s="42"/>
      <c r="K112" s="211">
        <v>45880</v>
      </c>
      <c r="L112" s="211"/>
      <c r="M112" s="42" t="s">
        <v>94</v>
      </c>
    </row>
    <row r="113" spans="1:13">
      <c r="A113" s="39"/>
      <c r="B113" s="42"/>
      <c r="C113" s="45"/>
      <c r="D113" s="158"/>
      <c r="E113" s="42"/>
      <c r="F113" s="42"/>
      <c r="G113" s="42"/>
      <c r="H113" s="43"/>
      <c r="I113" s="42"/>
      <c r="J113" s="42"/>
      <c r="K113" s="211"/>
      <c r="L113" s="211"/>
      <c r="M113" s="40"/>
    </row>
    <row r="114" spans="1:13">
      <c r="A114" s="39"/>
      <c r="B114" s="42" t="s">
        <v>21</v>
      </c>
      <c r="C114" s="41" t="s">
        <v>142</v>
      </c>
      <c r="D114" s="115"/>
      <c r="E114" s="40" t="s">
        <v>20</v>
      </c>
      <c r="F114" s="40" t="s">
        <v>23</v>
      </c>
      <c r="G114" s="40" t="s">
        <v>143</v>
      </c>
      <c r="H114" s="43">
        <v>250000</v>
      </c>
      <c r="I114" s="40" t="s">
        <v>25</v>
      </c>
      <c r="J114" s="40"/>
      <c r="K114" s="210">
        <v>45881</v>
      </c>
      <c r="L114" s="210"/>
      <c r="M114" s="40" t="s">
        <v>131</v>
      </c>
    </row>
    <row r="115" spans="1:13">
      <c r="A115" s="39"/>
      <c r="B115" s="42" t="s">
        <v>134</v>
      </c>
      <c r="C115" s="45" t="s">
        <v>144</v>
      </c>
      <c r="D115" s="158"/>
      <c r="E115" s="42" t="s">
        <v>20</v>
      </c>
      <c r="F115" s="42" t="s">
        <v>44</v>
      </c>
      <c r="G115" s="42" t="s">
        <v>143</v>
      </c>
      <c r="H115" s="43">
        <v>70000</v>
      </c>
      <c r="I115" s="42" t="s">
        <v>25</v>
      </c>
      <c r="J115" s="42"/>
      <c r="K115" s="211">
        <v>45881</v>
      </c>
      <c r="L115" s="211"/>
      <c r="M115" s="40" t="s">
        <v>131</v>
      </c>
    </row>
    <row r="116" spans="1:13">
      <c r="A116" s="39"/>
      <c r="B116" s="40" t="s">
        <v>77</v>
      </c>
      <c r="C116" s="45" t="s">
        <v>144</v>
      </c>
      <c r="D116" s="158"/>
      <c r="E116" s="40" t="s">
        <v>20</v>
      </c>
      <c r="F116" s="42" t="s">
        <v>23</v>
      </c>
      <c r="G116" s="40" t="s">
        <v>143</v>
      </c>
      <c r="H116" s="43">
        <v>50000</v>
      </c>
      <c r="I116" s="40" t="s">
        <v>25</v>
      </c>
      <c r="J116" s="40"/>
      <c r="K116" s="210">
        <v>45881</v>
      </c>
      <c r="L116" s="210"/>
      <c r="M116" s="40" t="s">
        <v>131</v>
      </c>
    </row>
    <row r="117" spans="1:13">
      <c r="A117" s="39"/>
      <c r="B117" s="40" t="s">
        <v>106</v>
      </c>
      <c r="C117" s="41" t="s">
        <v>142</v>
      </c>
      <c r="D117" s="115"/>
      <c r="E117" s="40" t="s">
        <v>20</v>
      </c>
      <c r="F117" s="42" t="s">
        <v>18</v>
      </c>
      <c r="G117" s="40" t="s">
        <v>143</v>
      </c>
      <c r="H117" s="43">
        <v>130000</v>
      </c>
      <c r="I117" s="40" t="s">
        <v>25</v>
      </c>
      <c r="J117" s="40"/>
      <c r="K117" s="210">
        <v>45881</v>
      </c>
      <c r="L117" s="210"/>
      <c r="M117" s="40" t="s">
        <v>131</v>
      </c>
    </row>
    <row r="118" spans="1:13">
      <c r="A118" s="39"/>
      <c r="B118" s="40"/>
      <c r="C118" s="41"/>
      <c r="D118" s="115"/>
      <c r="E118" s="40"/>
      <c r="F118" s="42"/>
      <c r="G118" s="40"/>
      <c r="H118" s="43"/>
      <c r="I118" s="40"/>
      <c r="J118" s="40"/>
      <c r="K118" s="210"/>
      <c r="L118" s="210"/>
      <c r="M118" s="42"/>
    </row>
    <row r="119" spans="1:13">
      <c r="A119" s="39"/>
      <c r="B119" s="40" t="s">
        <v>68</v>
      </c>
      <c r="C119" s="41" t="s">
        <v>145</v>
      </c>
      <c r="D119" s="115"/>
      <c r="E119" s="40" t="s">
        <v>20</v>
      </c>
      <c r="F119" s="42" t="s">
        <v>23</v>
      </c>
      <c r="G119" s="40" t="s">
        <v>146</v>
      </c>
      <c r="H119" s="43">
        <v>275000</v>
      </c>
      <c r="I119" s="40" t="s">
        <v>53</v>
      </c>
      <c r="J119" s="40"/>
      <c r="K119" s="210">
        <v>45881</v>
      </c>
      <c r="L119" s="210"/>
      <c r="M119" s="42" t="s">
        <v>94</v>
      </c>
    </row>
    <row r="120" spans="1:13">
      <c r="A120" s="39"/>
      <c r="B120" s="40" t="s">
        <v>50</v>
      </c>
      <c r="C120" s="41" t="s">
        <v>145</v>
      </c>
      <c r="D120" s="115"/>
      <c r="E120" s="40" t="s">
        <v>20</v>
      </c>
      <c r="F120" s="42" t="s">
        <v>23</v>
      </c>
      <c r="G120" s="40" t="s">
        <v>146</v>
      </c>
      <c r="H120" s="43">
        <v>275000</v>
      </c>
      <c r="I120" s="40" t="s">
        <v>53</v>
      </c>
      <c r="J120" s="40"/>
      <c r="K120" s="210">
        <v>45881</v>
      </c>
      <c r="L120" s="210"/>
      <c r="M120" s="42" t="s">
        <v>94</v>
      </c>
    </row>
    <row r="121" spans="1:13">
      <c r="A121" s="39"/>
      <c r="B121" s="40"/>
      <c r="C121" s="41"/>
      <c r="D121" s="115"/>
      <c r="E121" s="40"/>
      <c r="F121" s="42"/>
      <c r="G121" s="40"/>
      <c r="H121" s="43"/>
      <c r="I121" s="40"/>
      <c r="J121" s="40"/>
      <c r="K121" s="210"/>
      <c r="L121" s="210"/>
      <c r="M121" s="42"/>
    </row>
    <row r="122" spans="1:13">
      <c r="A122" s="39"/>
      <c r="B122" s="40" t="s">
        <v>103</v>
      </c>
      <c r="C122" s="41" t="s">
        <v>147</v>
      </c>
      <c r="D122" s="115"/>
      <c r="E122" s="46" t="s">
        <v>12</v>
      </c>
      <c r="F122" s="40" t="s">
        <v>44</v>
      </c>
      <c r="G122" s="40" t="s">
        <v>148</v>
      </c>
      <c r="H122" s="43">
        <v>100000</v>
      </c>
      <c r="I122" s="40" t="s">
        <v>25</v>
      </c>
      <c r="J122" s="40"/>
      <c r="K122" s="210">
        <v>45889</v>
      </c>
      <c r="L122" s="210"/>
      <c r="M122" s="40" t="s">
        <v>149</v>
      </c>
    </row>
    <row r="123" spans="1:13">
      <c r="A123" s="39"/>
      <c r="B123" s="40" t="s">
        <v>57</v>
      </c>
      <c r="C123" s="41" t="s">
        <v>147</v>
      </c>
      <c r="D123" s="115"/>
      <c r="E123" s="40" t="s">
        <v>17</v>
      </c>
      <c r="F123" s="40" t="s">
        <v>37</v>
      </c>
      <c r="G123" s="40" t="s">
        <v>148</v>
      </c>
      <c r="H123" s="43">
        <v>50000</v>
      </c>
      <c r="I123" s="46" t="s">
        <v>25</v>
      </c>
      <c r="J123" s="46"/>
      <c r="K123" s="210">
        <v>45889</v>
      </c>
      <c r="L123" s="210"/>
      <c r="M123" s="40" t="s">
        <v>149</v>
      </c>
    </row>
    <row r="124" spans="1:13">
      <c r="A124" s="39"/>
      <c r="B124" s="40" t="s">
        <v>150</v>
      </c>
      <c r="C124" s="41" t="s">
        <v>147</v>
      </c>
      <c r="D124" s="115"/>
      <c r="E124" s="40" t="s">
        <v>151</v>
      </c>
      <c r="F124" s="40" t="s">
        <v>39</v>
      </c>
      <c r="G124" s="40" t="s">
        <v>148</v>
      </c>
      <c r="H124" s="43">
        <v>50000</v>
      </c>
      <c r="I124" s="46" t="s">
        <v>25</v>
      </c>
      <c r="J124" s="46"/>
      <c r="K124" s="210">
        <v>45889</v>
      </c>
      <c r="L124" s="210"/>
      <c r="M124" s="40" t="s">
        <v>149</v>
      </c>
    </row>
    <row r="125" spans="1:13">
      <c r="A125" s="39"/>
      <c r="B125" s="40" t="s">
        <v>152</v>
      </c>
      <c r="C125" s="41" t="s">
        <v>147</v>
      </c>
      <c r="D125" s="115"/>
      <c r="E125" s="40" t="s">
        <v>17</v>
      </c>
      <c r="F125" s="40" t="s">
        <v>37</v>
      </c>
      <c r="G125" s="40" t="s">
        <v>148</v>
      </c>
      <c r="H125" s="43">
        <v>50000</v>
      </c>
      <c r="I125" s="46" t="s">
        <v>25</v>
      </c>
      <c r="J125" s="46"/>
      <c r="K125" s="210">
        <v>45889</v>
      </c>
      <c r="L125" s="210"/>
      <c r="M125" s="40" t="s">
        <v>149</v>
      </c>
    </row>
    <row r="126" spans="1:13">
      <c r="A126" s="39"/>
      <c r="B126" s="40"/>
      <c r="C126" s="41"/>
      <c r="D126" s="115"/>
      <c r="E126" s="40"/>
      <c r="F126" s="40"/>
      <c r="G126" s="40"/>
      <c r="H126" s="43"/>
      <c r="I126" s="46"/>
      <c r="J126" s="46"/>
      <c r="K126" s="210"/>
      <c r="L126" s="210"/>
      <c r="M126" s="40"/>
    </row>
    <row r="127" spans="1:13">
      <c r="A127" s="39"/>
      <c r="B127" s="40" t="s">
        <v>153</v>
      </c>
      <c r="C127" s="41" t="s">
        <v>154</v>
      </c>
      <c r="D127" s="115"/>
      <c r="E127" s="40" t="s">
        <v>20</v>
      </c>
      <c r="F127" s="40" t="s">
        <v>23</v>
      </c>
      <c r="G127" s="40" t="s">
        <v>155</v>
      </c>
      <c r="H127" s="43">
        <v>250000</v>
      </c>
      <c r="I127" s="46" t="s">
        <v>25</v>
      </c>
      <c r="J127" s="46"/>
      <c r="K127" s="210">
        <v>45889</v>
      </c>
      <c r="L127" s="210"/>
      <c r="M127" s="40" t="s">
        <v>149</v>
      </c>
    </row>
    <row r="128" spans="1:13">
      <c r="A128" s="39"/>
      <c r="B128" s="40"/>
      <c r="C128" s="41"/>
      <c r="D128" s="115"/>
      <c r="E128" s="40"/>
      <c r="F128" s="40"/>
      <c r="G128" s="40"/>
      <c r="H128" s="43"/>
      <c r="I128" s="46"/>
      <c r="J128" s="46"/>
      <c r="K128" s="210"/>
      <c r="L128" s="210"/>
      <c r="M128" s="40"/>
    </row>
    <row r="129" spans="1:13">
      <c r="A129" s="39"/>
      <c r="B129" s="40" t="s">
        <v>156</v>
      </c>
      <c r="C129" s="41" t="s">
        <v>157</v>
      </c>
      <c r="D129" s="115"/>
      <c r="E129" s="40" t="s">
        <v>20</v>
      </c>
      <c r="F129" s="40" t="s">
        <v>23</v>
      </c>
      <c r="G129" s="40" t="s">
        <v>158</v>
      </c>
      <c r="H129" s="43">
        <v>250000</v>
      </c>
      <c r="I129" s="46" t="s">
        <v>25</v>
      </c>
      <c r="J129" s="46"/>
      <c r="K129" s="210">
        <v>45898</v>
      </c>
      <c r="L129" s="210"/>
      <c r="M129" s="40" t="s">
        <v>131</v>
      </c>
    </row>
    <row r="130" spans="1:13">
      <c r="A130" s="39"/>
      <c r="B130" s="40" t="s">
        <v>159</v>
      </c>
      <c r="C130" s="41" t="s">
        <v>157</v>
      </c>
      <c r="D130" s="115"/>
      <c r="E130" s="40" t="s">
        <v>17</v>
      </c>
      <c r="F130" s="40" t="s">
        <v>44</v>
      </c>
      <c r="G130" s="40" t="s">
        <v>158</v>
      </c>
      <c r="H130" s="43">
        <v>150000</v>
      </c>
      <c r="I130" s="46" t="s">
        <v>25</v>
      </c>
      <c r="J130" s="46"/>
      <c r="K130" s="210">
        <v>45898</v>
      </c>
      <c r="L130" s="210"/>
      <c r="M130" s="40" t="s">
        <v>131</v>
      </c>
    </row>
    <row r="131" spans="1:13">
      <c r="A131" s="39"/>
      <c r="B131" s="40" t="s">
        <v>160</v>
      </c>
      <c r="C131" s="41" t="s">
        <v>157</v>
      </c>
      <c r="D131" s="115"/>
      <c r="E131" s="40" t="s">
        <v>17</v>
      </c>
      <c r="F131" s="40" t="s">
        <v>44</v>
      </c>
      <c r="G131" s="40" t="s">
        <v>158</v>
      </c>
      <c r="H131" s="43">
        <v>30000</v>
      </c>
      <c r="I131" s="46" t="s">
        <v>25</v>
      </c>
      <c r="J131" s="46"/>
      <c r="K131" s="210">
        <v>45898</v>
      </c>
      <c r="L131" s="210"/>
      <c r="M131" s="40" t="s">
        <v>131</v>
      </c>
    </row>
    <row r="132" spans="1:13">
      <c r="A132" s="39"/>
      <c r="B132" s="40" t="s">
        <v>103</v>
      </c>
      <c r="C132" s="41" t="s">
        <v>157</v>
      </c>
      <c r="D132" s="115"/>
      <c r="E132" s="40" t="s">
        <v>12</v>
      </c>
      <c r="F132" s="40" t="s">
        <v>44</v>
      </c>
      <c r="G132" s="40" t="s">
        <v>158</v>
      </c>
      <c r="H132" s="43">
        <v>100000</v>
      </c>
      <c r="I132" s="46" t="s">
        <v>25</v>
      </c>
      <c r="J132" s="46"/>
      <c r="K132" s="210">
        <v>45898</v>
      </c>
      <c r="L132" s="210"/>
      <c r="M132" s="40" t="s">
        <v>131</v>
      </c>
    </row>
    <row r="133" spans="1:13">
      <c r="A133" s="39"/>
      <c r="B133" s="40" t="s">
        <v>117</v>
      </c>
      <c r="C133" s="41" t="s">
        <v>157</v>
      </c>
      <c r="D133" s="115"/>
      <c r="E133" s="40" t="s">
        <v>12</v>
      </c>
      <c r="F133" s="40" t="s">
        <v>23</v>
      </c>
      <c r="G133" s="40" t="s">
        <v>158</v>
      </c>
      <c r="H133" s="43">
        <v>100000</v>
      </c>
      <c r="I133" s="46" t="s">
        <v>25</v>
      </c>
      <c r="J133" s="46"/>
      <c r="K133" s="210">
        <v>45898</v>
      </c>
      <c r="L133" s="210"/>
      <c r="M133" s="40" t="s">
        <v>131</v>
      </c>
    </row>
    <row r="134" spans="1:13">
      <c r="A134" s="39"/>
      <c r="B134" s="40" t="s">
        <v>100</v>
      </c>
      <c r="C134" s="41" t="s">
        <v>157</v>
      </c>
      <c r="D134" s="115"/>
      <c r="E134" s="40" t="s">
        <v>101</v>
      </c>
      <c r="F134" s="40" t="s">
        <v>37</v>
      </c>
      <c r="G134" s="40" t="s">
        <v>158</v>
      </c>
      <c r="H134" s="43">
        <v>40000</v>
      </c>
      <c r="I134" s="46" t="s">
        <v>25</v>
      </c>
      <c r="J134" s="46"/>
      <c r="K134" s="210">
        <v>45898</v>
      </c>
      <c r="L134" s="210"/>
      <c r="M134" s="40" t="s">
        <v>131</v>
      </c>
    </row>
    <row r="135" spans="1:13" ht="13" thickBot="1">
      <c r="A135" s="53"/>
      <c r="B135" s="54"/>
      <c r="C135" s="55"/>
      <c r="D135" s="159"/>
      <c r="E135" s="54"/>
      <c r="F135" s="54"/>
      <c r="G135" s="54"/>
      <c r="H135" s="56"/>
      <c r="I135" s="57"/>
      <c r="J135" s="57"/>
      <c r="K135" s="212"/>
      <c r="L135" s="212"/>
      <c r="M135" s="40"/>
    </row>
    <row r="136" spans="1:13" ht="13" thickBot="1">
      <c r="A136" s="291">
        <v>2000000</v>
      </c>
      <c r="B136" s="58" t="s">
        <v>63</v>
      </c>
      <c r="C136" s="59" t="s">
        <v>161</v>
      </c>
      <c r="D136" s="130"/>
      <c r="E136" s="58" t="s">
        <v>12</v>
      </c>
      <c r="F136" s="58" t="s">
        <v>39</v>
      </c>
      <c r="G136" s="58" t="s">
        <v>162</v>
      </c>
      <c r="H136" s="60">
        <v>200000</v>
      </c>
      <c r="I136" s="61" t="s">
        <v>15</v>
      </c>
      <c r="J136" s="61"/>
      <c r="K136" s="213">
        <v>45911</v>
      </c>
      <c r="L136" s="240"/>
      <c r="M136" s="42" t="s">
        <v>94</v>
      </c>
    </row>
    <row r="137" spans="1:13" ht="13" thickBot="1">
      <c r="A137" s="291"/>
      <c r="B137" s="40" t="s">
        <v>100</v>
      </c>
      <c r="C137" s="41" t="s">
        <v>161</v>
      </c>
      <c r="D137" s="115"/>
      <c r="E137" s="40" t="s">
        <v>101</v>
      </c>
      <c r="F137" s="40" t="s">
        <v>37</v>
      </c>
      <c r="G137" s="40" t="s">
        <v>162</v>
      </c>
      <c r="H137" s="43">
        <v>200000</v>
      </c>
      <c r="I137" s="42" t="s">
        <v>15</v>
      </c>
      <c r="J137" s="42"/>
      <c r="K137" s="210">
        <v>45911</v>
      </c>
      <c r="L137" s="210"/>
      <c r="M137" s="42" t="s">
        <v>94</v>
      </c>
    </row>
    <row r="138" spans="1:13" ht="13" thickBot="1">
      <c r="A138" s="291"/>
      <c r="B138" s="40" t="s">
        <v>69</v>
      </c>
      <c r="C138" s="41" t="s">
        <v>161</v>
      </c>
      <c r="D138" s="115"/>
      <c r="E138" s="40" t="s">
        <v>12</v>
      </c>
      <c r="F138" s="40" t="s">
        <v>37</v>
      </c>
      <c r="G138" s="40" t="s">
        <v>162</v>
      </c>
      <c r="H138" s="43">
        <v>200000</v>
      </c>
      <c r="I138" s="42" t="s">
        <v>15</v>
      </c>
      <c r="J138" s="42"/>
      <c r="K138" s="210">
        <v>45911</v>
      </c>
      <c r="L138" s="210"/>
      <c r="M138" s="42" t="s">
        <v>94</v>
      </c>
    </row>
    <row r="139" spans="1:13" ht="13" thickBot="1">
      <c r="A139" s="291"/>
      <c r="B139" s="40" t="s">
        <v>38</v>
      </c>
      <c r="C139" s="41" t="s">
        <v>161</v>
      </c>
      <c r="D139" s="115"/>
      <c r="E139" s="40" t="s">
        <v>17</v>
      </c>
      <c r="F139" s="40" t="s">
        <v>39</v>
      </c>
      <c r="G139" s="40" t="s">
        <v>162</v>
      </c>
      <c r="H139" s="43">
        <v>150000</v>
      </c>
      <c r="I139" s="42" t="s">
        <v>15</v>
      </c>
      <c r="J139" s="42"/>
      <c r="K139" s="210">
        <v>45911</v>
      </c>
      <c r="L139" s="210"/>
      <c r="M139" s="42" t="s">
        <v>94</v>
      </c>
    </row>
    <row r="140" spans="1:13" ht="13" thickBot="1">
      <c r="A140" s="291"/>
      <c r="B140" s="40" t="s">
        <v>163</v>
      </c>
      <c r="C140" s="41" t="s">
        <v>161</v>
      </c>
      <c r="D140" s="115"/>
      <c r="E140" s="40" t="s">
        <v>17</v>
      </c>
      <c r="F140" s="40" t="s">
        <v>37</v>
      </c>
      <c r="G140" s="40" t="s">
        <v>162</v>
      </c>
      <c r="H140" s="43">
        <v>150000</v>
      </c>
      <c r="I140" s="42" t="s">
        <v>15</v>
      </c>
      <c r="J140" s="42"/>
      <c r="K140" s="210">
        <v>45911</v>
      </c>
      <c r="L140" s="210"/>
      <c r="M140" s="42" t="s">
        <v>94</v>
      </c>
    </row>
    <row r="141" spans="1:13" ht="13" thickBot="1">
      <c r="A141" s="291"/>
      <c r="B141" s="40" t="s">
        <v>45</v>
      </c>
      <c r="C141" s="41" t="s">
        <v>161</v>
      </c>
      <c r="D141" s="115"/>
      <c r="E141" s="40" t="s">
        <v>20</v>
      </c>
      <c r="F141" s="40" t="s">
        <v>18</v>
      </c>
      <c r="G141" s="40" t="s">
        <v>162</v>
      </c>
      <c r="H141" s="43">
        <v>400000</v>
      </c>
      <c r="I141" s="42" t="s">
        <v>15</v>
      </c>
      <c r="J141" s="42"/>
      <c r="K141" s="210">
        <v>45911</v>
      </c>
      <c r="L141" s="210"/>
      <c r="M141" s="42" t="s">
        <v>94</v>
      </c>
    </row>
    <row r="142" spans="1:13" ht="13" thickBot="1">
      <c r="A142" s="291"/>
      <c r="B142" s="40" t="s">
        <v>74</v>
      </c>
      <c r="C142" s="41" t="s">
        <v>161</v>
      </c>
      <c r="D142" s="115"/>
      <c r="E142" s="40" t="s">
        <v>17</v>
      </c>
      <c r="F142" s="40" t="s">
        <v>44</v>
      </c>
      <c r="G142" s="40" t="s">
        <v>162</v>
      </c>
      <c r="H142" s="43">
        <v>150000</v>
      </c>
      <c r="I142" s="42" t="s">
        <v>15</v>
      </c>
      <c r="J142" s="42"/>
      <c r="K142" s="210">
        <v>45911</v>
      </c>
      <c r="L142" s="210"/>
      <c r="M142" s="42" t="s">
        <v>94</v>
      </c>
    </row>
    <row r="143" spans="1:13" ht="13" thickBot="1">
      <c r="A143" s="291"/>
      <c r="B143" s="40" t="s">
        <v>164</v>
      </c>
      <c r="C143" s="41" t="s">
        <v>161</v>
      </c>
      <c r="D143" s="115"/>
      <c r="E143" s="40" t="s">
        <v>12</v>
      </c>
      <c r="F143" s="40" t="s">
        <v>37</v>
      </c>
      <c r="G143" s="40" t="s">
        <v>162</v>
      </c>
      <c r="H143" s="43">
        <v>100000</v>
      </c>
      <c r="I143" s="42" t="s">
        <v>15</v>
      </c>
      <c r="J143" s="42"/>
      <c r="K143" s="210">
        <v>45911</v>
      </c>
      <c r="L143" s="210"/>
      <c r="M143" s="42" t="s">
        <v>94</v>
      </c>
    </row>
    <row r="144" spans="1:13" ht="13" thickBot="1">
      <c r="A144" s="291"/>
      <c r="B144" s="40" t="s">
        <v>165</v>
      </c>
      <c r="C144" s="41" t="s">
        <v>161</v>
      </c>
      <c r="D144" s="115"/>
      <c r="E144" s="40" t="s">
        <v>20</v>
      </c>
      <c r="F144" s="40" t="s">
        <v>39</v>
      </c>
      <c r="G144" s="40" t="s">
        <v>162</v>
      </c>
      <c r="H144" s="43">
        <v>200000</v>
      </c>
      <c r="I144" s="42" t="s">
        <v>15</v>
      </c>
      <c r="J144" s="42"/>
      <c r="K144" s="210">
        <v>45911</v>
      </c>
      <c r="L144" s="210"/>
      <c r="M144" s="42" t="s">
        <v>94</v>
      </c>
    </row>
    <row r="145" spans="1:13" ht="13" thickBot="1">
      <c r="A145" s="291"/>
      <c r="B145" s="40" t="s">
        <v>16</v>
      </c>
      <c r="C145" s="41" t="s">
        <v>161</v>
      </c>
      <c r="D145" s="115"/>
      <c r="E145" s="40" t="s">
        <v>20</v>
      </c>
      <c r="F145" s="40" t="s">
        <v>18</v>
      </c>
      <c r="G145" s="40" t="s">
        <v>162</v>
      </c>
      <c r="H145" s="43">
        <v>150000</v>
      </c>
      <c r="I145" s="42" t="s">
        <v>15</v>
      </c>
      <c r="J145" s="42"/>
      <c r="K145" s="210">
        <v>45911</v>
      </c>
      <c r="L145" s="210"/>
      <c r="M145" s="42" t="s">
        <v>94</v>
      </c>
    </row>
    <row r="146" spans="1:13" ht="13" thickBot="1">
      <c r="A146" s="291"/>
      <c r="B146" s="62" t="s">
        <v>166</v>
      </c>
      <c r="C146" s="63" t="s">
        <v>161</v>
      </c>
      <c r="D146" s="160"/>
      <c r="E146" s="62" t="s">
        <v>12</v>
      </c>
      <c r="F146" s="62" t="s">
        <v>37</v>
      </c>
      <c r="G146" s="62" t="s">
        <v>162</v>
      </c>
      <c r="H146" s="64">
        <v>100000</v>
      </c>
      <c r="I146" s="65" t="s">
        <v>15</v>
      </c>
      <c r="J146" s="65"/>
      <c r="K146" s="214">
        <v>45911</v>
      </c>
      <c r="L146" s="241"/>
      <c r="M146" s="42" t="s">
        <v>94</v>
      </c>
    </row>
    <row r="147" spans="1:13" ht="13" thickBot="1">
      <c r="F147" s="67"/>
      <c r="G147" s="67"/>
      <c r="I147" s="69"/>
      <c r="J147" s="69"/>
      <c r="K147" s="215"/>
      <c r="L147" s="215"/>
      <c r="M147" s="42"/>
    </row>
    <row r="148" spans="1:13" ht="13" thickBot="1">
      <c r="A148" s="291">
        <v>350000</v>
      </c>
      <c r="B148" s="58" t="s">
        <v>159</v>
      </c>
      <c r="C148" s="59" t="s">
        <v>167</v>
      </c>
      <c r="D148" s="130"/>
      <c r="E148" s="58" t="s">
        <v>17</v>
      </c>
      <c r="F148" s="58" t="s">
        <v>44</v>
      </c>
      <c r="G148" s="58" t="s">
        <v>168</v>
      </c>
      <c r="H148" s="60">
        <v>150000</v>
      </c>
      <c r="I148" s="70" t="s">
        <v>25</v>
      </c>
      <c r="J148" s="70"/>
      <c r="K148" s="213">
        <v>45917</v>
      </c>
      <c r="L148" s="240"/>
      <c r="M148" s="42" t="s">
        <v>94</v>
      </c>
    </row>
    <row r="149" spans="1:13" ht="13" thickBot="1">
      <c r="A149" s="291"/>
      <c r="B149" s="40" t="s">
        <v>169</v>
      </c>
      <c r="C149" s="41" t="s">
        <v>167</v>
      </c>
      <c r="D149" s="115"/>
      <c r="E149" s="40" t="s">
        <v>17</v>
      </c>
      <c r="F149" s="40" t="s">
        <v>37</v>
      </c>
      <c r="G149" s="40" t="s">
        <v>168</v>
      </c>
      <c r="H149" s="43">
        <v>50000</v>
      </c>
      <c r="I149" s="46" t="s">
        <v>25</v>
      </c>
      <c r="J149" s="46"/>
      <c r="K149" s="210">
        <v>45917</v>
      </c>
      <c r="L149" s="210"/>
      <c r="M149" s="42" t="s">
        <v>94</v>
      </c>
    </row>
    <row r="150" spans="1:13" ht="13" thickBot="1">
      <c r="A150" s="291"/>
      <c r="B150" s="40" t="s">
        <v>170</v>
      </c>
      <c r="C150" s="41" t="s">
        <v>167</v>
      </c>
      <c r="D150" s="115"/>
      <c r="E150" s="40" t="s">
        <v>17</v>
      </c>
      <c r="F150" s="40" t="s">
        <v>37</v>
      </c>
      <c r="G150" s="40" t="s">
        <v>168</v>
      </c>
      <c r="H150" s="43">
        <v>50000</v>
      </c>
      <c r="I150" s="46" t="s">
        <v>25</v>
      </c>
      <c r="J150" s="46"/>
      <c r="K150" s="210">
        <v>45917</v>
      </c>
      <c r="L150" s="210"/>
      <c r="M150" s="42" t="s">
        <v>94</v>
      </c>
    </row>
    <row r="151" spans="1:13" ht="13" thickBot="1">
      <c r="A151" s="291"/>
      <c r="B151" s="62" t="s">
        <v>103</v>
      </c>
      <c r="C151" s="63" t="s">
        <v>167</v>
      </c>
      <c r="D151" s="160"/>
      <c r="E151" s="62" t="s">
        <v>12</v>
      </c>
      <c r="F151" s="62" t="s">
        <v>44</v>
      </c>
      <c r="G151" s="62" t="s">
        <v>168</v>
      </c>
      <c r="H151" s="64">
        <v>100000</v>
      </c>
      <c r="I151" s="62" t="s">
        <v>25</v>
      </c>
      <c r="J151" s="62"/>
      <c r="K151" s="214">
        <v>45917</v>
      </c>
      <c r="L151" s="241"/>
      <c r="M151" s="42" t="s">
        <v>94</v>
      </c>
    </row>
    <row r="152" spans="1:13">
      <c r="F152" s="67"/>
      <c r="G152" s="67"/>
      <c r="I152" s="67"/>
      <c r="J152" s="67"/>
      <c r="K152" s="67"/>
      <c r="L152" s="67"/>
      <c r="M152" s="40"/>
    </row>
    <row r="153" spans="1:13" ht="13">
      <c r="A153" s="71">
        <v>250000</v>
      </c>
      <c r="B153" s="40" t="s">
        <v>68</v>
      </c>
      <c r="C153" s="41" t="s">
        <v>171</v>
      </c>
      <c r="D153" s="115"/>
      <c r="E153" s="40" t="s">
        <v>20</v>
      </c>
      <c r="F153" s="40" t="s">
        <v>23</v>
      </c>
      <c r="G153" s="40" t="s">
        <v>172</v>
      </c>
      <c r="H153" s="43">
        <v>250000</v>
      </c>
      <c r="I153" s="40" t="s">
        <v>53</v>
      </c>
      <c r="J153" s="40"/>
      <c r="K153" s="210">
        <v>45917</v>
      </c>
      <c r="L153" s="210"/>
      <c r="M153" s="42" t="s">
        <v>94</v>
      </c>
    </row>
    <row r="154" spans="1:13">
      <c r="A154" s="72"/>
      <c r="B154" s="40"/>
      <c r="C154" s="41"/>
      <c r="D154" s="115"/>
      <c r="E154" s="40"/>
      <c r="F154" s="40"/>
      <c r="G154" s="40"/>
      <c r="H154" s="43"/>
      <c r="I154" s="40"/>
      <c r="J154" s="40"/>
      <c r="K154" s="40"/>
      <c r="L154" s="40"/>
      <c r="M154" s="40"/>
    </row>
    <row r="155" spans="1:13">
      <c r="A155" s="292">
        <v>1000000</v>
      </c>
      <c r="B155" s="40" t="s">
        <v>173</v>
      </c>
      <c r="C155" s="41" t="s">
        <v>174</v>
      </c>
      <c r="D155" s="115"/>
      <c r="E155" s="40" t="s">
        <v>17</v>
      </c>
      <c r="F155" s="40" t="s">
        <v>18</v>
      </c>
      <c r="G155" s="67" t="s">
        <v>175</v>
      </c>
      <c r="H155" s="43">
        <v>350000</v>
      </c>
      <c r="I155" s="40" t="s">
        <v>15</v>
      </c>
      <c r="J155" s="40"/>
      <c r="K155" s="210">
        <v>45917</v>
      </c>
      <c r="L155" s="210"/>
      <c r="M155" s="40" t="s">
        <v>176</v>
      </c>
    </row>
    <row r="156" spans="1:13">
      <c r="A156" s="292"/>
      <c r="B156" s="40" t="s">
        <v>177</v>
      </c>
      <c r="C156" s="41" t="s">
        <v>174</v>
      </c>
      <c r="D156" s="115"/>
      <c r="E156" s="40" t="s">
        <v>20</v>
      </c>
      <c r="F156" s="40" t="s">
        <v>18</v>
      </c>
      <c r="G156" s="40" t="s">
        <v>175</v>
      </c>
      <c r="H156" s="43">
        <v>250000</v>
      </c>
      <c r="I156" s="44" t="s">
        <v>15</v>
      </c>
      <c r="J156" s="44"/>
      <c r="K156" s="210">
        <v>45917</v>
      </c>
      <c r="L156" s="210"/>
      <c r="M156" s="40" t="s">
        <v>176</v>
      </c>
    </row>
    <row r="157" spans="1:13">
      <c r="A157" s="292"/>
      <c r="B157" s="40" t="s">
        <v>126</v>
      </c>
      <c r="C157" s="41" t="s">
        <v>174</v>
      </c>
      <c r="D157" s="115"/>
      <c r="E157" s="40" t="s">
        <v>20</v>
      </c>
      <c r="F157" s="40" t="s">
        <v>18</v>
      </c>
      <c r="G157" s="40" t="s">
        <v>175</v>
      </c>
      <c r="H157" s="203">
        <v>250000</v>
      </c>
      <c r="I157" s="40" t="s">
        <v>15</v>
      </c>
      <c r="J157" s="40"/>
      <c r="K157" s="210">
        <v>45917</v>
      </c>
      <c r="L157" s="210"/>
      <c r="M157" s="40" t="s">
        <v>176</v>
      </c>
    </row>
    <row r="158" spans="1:13">
      <c r="A158" s="73"/>
      <c r="B158" s="40" t="s">
        <v>178</v>
      </c>
      <c r="C158" s="41" t="s">
        <v>174</v>
      </c>
      <c r="D158" s="115"/>
      <c r="E158" s="40" t="s">
        <v>12</v>
      </c>
      <c r="F158" s="40" t="s">
        <v>37</v>
      </c>
      <c r="G158" s="40" t="s">
        <v>175</v>
      </c>
      <c r="H158" s="43">
        <v>150000</v>
      </c>
      <c r="I158" s="40" t="s">
        <v>15</v>
      </c>
      <c r="J158" s="40"/>
      <c r="K158" s="210">
        <v>45917</v>
      </c>
      <c r="L158" s="210"/>
      <c r="M158" s="40" t="s">
        <v>176</v>
      </c>
    </row>
    <row r="159" spans="1:13">
      <c r="A159" s="74"/>
      <c r="B159" s="40"/>
      <c r="C159" s="41"/>
      <c r="D159" s="115"/>
      <c r="E159" s="40"/>
      <c r="F159" s="40"/>
      <c r="G159" s="40"/>
      <c r="H159" s="43"/>
      <c r="I159" s="40"/>
      <c r="J159" s="40"/>
      <c r="K159" s="40"/>
      <c r="L159" s="40"/>
      <c r="M159" s="40"/>
    </row>
    <row r="160" spans="1:13" ht="13">
      <c r="A160" s="71">
        <v>200000</v>
      </c>
      <c r="B160" s="40" t="s">
        <v>21</v>
      </c>
      <c r="C160" s="41" t="s">
        <v>179</v>
      </c>
      <c r="D160" s="115"/>
      <c r="E160" s="40" t="s">
        <v>20</v>
      </c>
      <c r="F160" s="40" t="s">
        <v>23</v>
      </c>
      <c r="G160" s="40" t="s">
        <v>180</v>
      </c>
      <c r="H160" s="43">
        <v>200000</v>
      </c>
      <c r="I160" s="40" t="s">
        <v>25</v>
      </c>
      <c r="J160" s="40"/>
      <c r="K160" s="210">
        <v>45919</v>
      </c>
      <c r="L160" s="210"/>
      <c r="M160" s="40" t="s">
        <v>181</v>
      </c>
    </row>
    <row r="161" spans="1:13">
      <c r="A161" s="39"/>
      <c r="B161" s="40"/>
      <c r="C161" s="41"/>
      <c r="D161" s="115"/>
      <c r="E161" s="40"/>
      <c r="F161" s="40"/>
      <c r="G161" s="40"/>
      <c r="H161" s="43"/>
      <c r="I161" s="40"/>
      <c r="J161" s="40"/>
      <c r="K161" s="40"/>
      <c r="L161" s="40"/>
      <c r="M161" s="40"/>
    </row>
    <row r="162" spans="1:13">
      <c r="A162" s="290">
        <v>775000</v>
      </c>
      <c r="B162" s="40" t="s">
        <v>159</v>
      </c>
      <c r="C162" s="41" t="s">
        <v>182</v>
      </c>
      <c r="D162" s="115"/>
      <c r="E162" s="40" t="s">
        <v>17</v>
      </c>
      <c r="F162" s="40" t="s">
        <v>44</v>
      </c>
      <c r="G162" s="40" t="s">
        <v>183</v>
      </c>
      <c r="H162" s="43">
        <v>150000</v>
      </c>
      <c r="I162" s="40" t="s">
        <v>25</v>
      </c>
      <c r="J162" s="40"/>
      <c r="K162" s="210">
        <v>45930</v>
      </c>
      <c r="L162" s="210"/>
      <c r="M162" s="40" t="s">
        <v>131</v>
      </c>
    </row>
    <row r="163" spans="1:13">
      <c r="A163" s="290"/>
      <c r="B163" s="40" t="s">
        <v>184</v>
      </c>
      <c r="C163" s="41" t="s">
        <v>182</v>
      </c>
      <c r="D163" s="115"/>
      <c r="E163" s="40" t="s">
        <v>12</v>
      </c>
      <c r="F163" s="40" t="s">
        <v>23</v>
      </c>
      <c r="G163" s="40" t="s">
        <v>183</v>
      </c>
      <c r="H163" s="43">
        <v>100000</v>
      </c>
      <c r="I163" s="40" t="s">
        <v>25</v>
      </c>
      <c r="J163" s="40"/>
      <c r="K163" s="210">
        <v>45930</v>
      </c>
      <c r="L163" s="210"/>
      <c r="M163" s="40" t="s">
        <v>131</v>
      </c>
    </row>
    <row r="164" spans="1:13">
      <c r="A164" s="290"/>
      <c r="B164" s="67" t="s">
        <v>100</v>
      </c>
      <c r="C164" s="41" t="s">
        <v>182</v>
      </c>
      <c r="D164" s="115"/>
      <c r="E164" s="40" t="s">
        <v>101</v>
      </c>
      <c r="F164" s="40" t="s">
        <v>37</v>
      </c>
      <c r="G164" s="40" t="s">
        <v>183</v>
      </c>
      <c r="H164" s="43">
        <v>50000</v>
      </c>
      <c r="I164" s="40" t="s">
        <v>25</v>
      </c>
      <c r="J164" s="40"/>
      <c r="K164" s="210">
        <v>45930</v>
      </c>
      <c r="L164" s="210"/>
      <c r="M164" s="40" t="s">
        <v>131</v>
      </c>
    </row>
    <row r="165" spans="1:13">
      <c r="A165" s="290"/>
      <c r="B165" s="40" t="s">
        <v>103</v>
      </c>
      <c r="C165" s="41" t="s">
        <v>182</v>
      </c>
      <c r="D165" s="115"/>
      <c r="E165" s="40" t="s">
        <v>12</v>
      </c>
      <c r="F165" s="40" t="s">
        <v>44</v>
      </c>
      <c r="G165" s="40" t="s">
        <v>183</v>
      </c>
      <c r="H165" s="43">
        <v>100000</v>
      </c>
      <c r="I165" s="40" t="s">
        <v>25</v>
      </c>
      <c r="J165" s="40"/>
      <c r="K165" s="210">
        <v>45930</v>
      </c>
      <c r="L165" s="210"/>
      <c r="M165" s="40" t="s">
        <v>131</v>
      </c>
    </row>
    <row r="166" spans="1:13">
      <c r="A166" s="290"/>
      <c r="B166" s="40" t="s">
        <v>185</v>
      </c>
      <c r="C166" s="41" t="s">
        <v>182</v>
      </c>
      <c r="D166" s="115"/>
      <c r="E166" s="40" t="s">
        <v>20</v>
      </c>
      <c r="F166" s="40" t="s">
        <v>37</v>
      </c>
      <c r="G166" s="40" t="s">
        <v>183</v>
      </c>
      <c r="H166" s="43">
        <v>100000</v>
      </c>
      <c r="I166" s="40" t="s">
        <v>25</v>
      </c>
      <c r="J166" s="40"/>
      <c r="K166" s="210">
        <v>45930</v>
      </c>
      <c r="L166" s="210"/>
      <c r="M166" s="40" t="s">
        <v>131</v>
      </c>
    </row>
    <row r="167" spans="1:13">
      <c r="A167" s="290"/>
      <c r="B167" s="40" t="s">
        <v>186</v>
      </c>
      <c r="C167" s="41" t="s">
        <v>182</v>
      </c>
      <c r="D167" s="115"/>
      <c r="E167" s="40" t="s">
        <v>17</v>
      </c>
      <c r="F167" s="40" t="s">
        <v>37</v>
      </c>
      <c r="G167" s="40" t="s">
        <v>183</v>
      </c>
      <c r="H167" s="43">
        <v>50000</v>
      </c>
      <c r="I167" s="40" t="s">
        <v>25</v>
      </c>
      <c r="J167" s="40"/>
      <c r="K167" s="210">
        <v>45930</v>
      </c>
      <c r="L167" s="210"/>
      <c r="M167" s="40" t="s">
        <v>131</v>
      </c>
    </row>
    <row r="168" spans="1:13">
      <c r="A168" s="290"/>
      <c r="B168" s="40" t="s">
        <v>187</v>
      </c>
      <c r="C168" s="41" t="s">
        <v>182</v>
      </c>
      <c r="D168" s="115"/>
      <c r="E168" s="40" t="s">
        <v>20</v>
      </c>
      <c r="F168" s="40" t="s">
        <v>188</v>
      </c>
      <c r="G168" s="40" t="s">
        <v>183</v>
      </c>
      <c r="H168" s="43">
        <v>125000</v>
      </c>
      <c r="I168" s="40" t="s">
        <v>25</v>
      </c>
      <c r="J168" s="40"/>
      <c r="K168" s="210">
        <v>45930</v>
      </c>
      <c r="L168" s="210"/>
      <c r="M168" s="40" t="s">
        <v>131</v>
      </c>
    </row>
    <row r="169" spans="1:13">
      <c r="A169" s="290"/>
      <c r="B169" s="40" t="s">
        <v>189</v>
      </c>
      <c r="C169" s="41" t="s">
        <v>182</v>
      </c>
      <c r="D169" s="115"/>
      <c r="E169" s="40" t="s">
        <v>20</v>
      </c>
      <c r="F169" s="40" t="s">
        <v>18</v>
      </c>
      <c r="G169" s="40" t="s">
        <v>183</v>
      </c>
      <c r="H169" s="43">
        <v>50000</v>
      </c>
      <c r="I169" s="40" t="s">
        <v>25</v>
      </c>
      <c r="J169" s="40"/>
      <c r="K169" s="210">
        <v>45930</v>
      </c>
      <c r="L169" s="210"/>
      <c r="M169" s="40" t="s">
        <v>131</v>
      </c>
    </row>
    <row r="170" spans="1:13">
      <c r="A170" s="290"/>
      <c r="B170" s="40" t="s">
        <v>102</v>
      </c>
      <c r="C170" s="41" t="s">
        <v>182</v>
      </c>
      <c r="D170" s="115"/>
      <c r="E170" s="40" t="s">
        <v>20</v>
      </c>
      <c r="F170" s="40" t="s">
        <v>18</v>
      </c>
      <c r="G170" s="40" t="s">
        <v>183</v>
      </c>
      <c r="H170" s="43">
        <v>50000</v>
      </c>
      <c r="I170" s="40" t="s">
        <v>25</v>
      </c>
      <c r="J170" s="40"/>
      <c r="K170" s="210">
        <v>45930</v>
      </c>
      <c r="L170" s="210"/>
      <c r="M170" s="40" t="s">
        <v>131</v>
      </c>
    </row>
    <row r="171" spans="1:13">
      <c r="A171" s="39"/>
      <c r="B171" s="40"/>
      <c r="C171" s="41"/>
      <c r="D171" s="115"/>
      <c r="E171" s="40"/>
      <c r="F171" s="40"/>
      <c r="G171" s="40"/>
      <c r="H171" s="43"/>
      <c r="I171" s="40"/>
      <c r="J171" s="40"/>
      <c r="K171" s="40"/>
      <c r="L171" s="40"/>
      <c r="M171" s="40"/>
    </row>
    <row r="172" spans="1:13">
      <c r="A172" s="287">
        <v>2100000</v>
      </c>
      <c r="B172" s="75" t="s">
        <v>190</v>
      </c>
      <c r="C172" s="41" t="s">
        <v>191</v>
      </c>
      <c r="D172" s="115"/>
      <c r="E172" s="40" t="s">
        <v>12</v>
      </c>
      <c r="F172" s="40" t="s">
        <v>39</v>
      </c>
      <c r="G172" s="40" t="s">
        <v>192</v>
      </c>
      <c r="H172" s="43">
        <v>300000</v>
      </c>
      <c r="I172" s="40" t="s">
        <v>15</v>
      </c>
      <c r="J172" s="40"/>
      <c r="K172" s="210">
        <v>45930</v>
      </c>
      <c r="L172" s="210"/>
      <c r="M172" s="40" t="s">
        <v>193</v>
      </c>
    </row>
    <row r="173" spans="1:13">
      <c r="A173" s="287"/>
      <c r="B173" s="40" t="s">
        <v>54</v>
      </c>
      <c r="C173" s="41" t="s">
        <v>191</v>
      </c>
      <c r="D173" s="115"/>
      <c r="E173" s="40" t="s">
        <v>12</v>
      </c>
      <c r="F173" s="40" t="s">
        <v>44</v>
      </c>
      <c r="G173" s="40" t="s">
        <v>192</v>
      </c>
      <c r="H173" s="43">
        <v>400000</v>
      </c>
      <c r="I173" s="40" t="s">
        <v>15</v>
      </c>
      <c r="J173" s="40"/>
      <c r="K173" s="210">
        <v>45930</v>
      </c>
      <c r="L173" s="210"/>
      <c r="M173" s="40" t="s">
        <v>193</v>
      </c>
    </row>
    <row r="174" spans="1:13">
      <c r="A174" s="287"/>
      <c r="B174" s="40" t="s">
        <v>45</v>
      </c>
      <c r="C174" s="41" t="s">
        <v>191</v>
      </c>
      <c r="D174" s="115"/>
      <c r="E174" s="40" t="s">
        <v>20</v>
      </c>
      <c r="F174" s="40" t="s">
        <v>18</v>
      </c>
      <c r="G174" s="40" t="s">
        <v>192</v>
      </c>
      <c r="H174" s="43">
        <v>350000</v>
      </c>
      <c r="I174" s="40" t="s">
        <v>15</v>
      </c>
      <c r="J174" s="40"/>
      <c r="K174" s="210">
        <v>45930</v>
      </c>
      <c r="L174" s="210"/>
      <c r="M174" s="40" t="s">
        <v>193</v>
      </c>
    </row>
    <row r="175" spans="1:13">
      <c r="A175" s="287"/>
      <c r="B175" s="40" t="s">
        <v>173</v>
      </c>
      <c r="C175" s="41" t="s">
        <v>191</v>
      </c>
      <c r="D175" s="115"/>
      <c r="E175" s="40" t="s">
        <v>17</v>
      </c>
      <c r="F175" s="40" t="s">
        <v>18</v>
      </c>
      <c r="G175" s="40" t="s">
        <v>192</v>
      </c>
      <c r="H175" s="43">
        <v>250000</v>
      </c>
      <c r="I175" s="40" t="s">
        <v>15</v>
      </c>
      <c r="J175" s="40"/>
      <c r="K175" s="210">
        <v>45930</v>
      </c>
      <c r="L175" s="210"/>
      <c r="M175" s="40" t="s">
        <v>193</v>
      </c>
    </row>
    <row r="176" spans="1:13">
      <c r="A176" s="287"/>
      <c r="B176" s="40" t="s">
        <v>178</v>
      </c>
      <c r="C176" s="41" t="s">
        <v>191</v>
      </c>
      <c r="D176" s="115"/>
      <c r="E176" s="40" t="s">
        <v>12</v>
      </c>
      <c r="F176" s="40" t="s">
        <v>37</v>
      </c>
      <c r="G176" s="40" t="s">
        <v>192</v>
      </c>
      <c r="H176" s="43">
        <v>100000</v>
      </c>
      <c r="I176" s="40" t="s">
        <v>15</v>
      </c>
      <c r="J176" s="40"/>
      <c r="K176" s="210">
        <v>45930</v>
      </c>
      <c r="L176" s="210"/>
      <c r="M176" s="40" t="s">
        <v>193</v>
      </c>
    </row>
    <row r="177" spans="1:13">
      <c r="A177" s="287"/>
      <c r="B177" s="40" t="s">
        <v>194</v>
      </c>
      <c r="C177" s="41" t="s">
        <v>195</v>
      </c>
      <c r="D177" s="115"/>
      <c r="E177" s="40" t="s">
        <v>12</v>
      </c>
      <c r="F177" s="40" t="s">
        <v>18</v>
      </c>
      <c r="G177" s="40" t="s">
        <v>192</v>
      </c>
      <c r="H177" s="43">
        <v>300000</v>
      </c>
      <c r="I177" s="40" t="s">
        <v>15</v>
      </c>
      <c r="J177" s="40"/>
      <c r="K177" s="210">
        <v>45930</v>
      </c>
      <c r="L177" s="210"/>
      <c r="M177" s="40" t="s">
        <v>193</v>
      </c>
    </row>
    <row r="178" spans="1:13">
      <c r="A178" s="287"/>
      <c r="B178" s="40" t="s">
        <v>141</v>
      </c>
      <c r="C178" s="41" t="s">
        <v>191</v>
      </c>
      <c r="D178" s="115"/>
      <c r="E178" s="40" t="s">
        <v>17</v>
      </c>
      <c r="F178" s="40" t="s">
        <v>44</v>
      </c>
      <c r="G178" s="40" t="s">
        <v>192</v>
      </c>
      <c r="H178" s="43">
        <v>150000</v>
      </c>
      <c r="I178" s="40" t="s">
        <v>15</v>
      </c>
      <c r="J178" s="40"/>
      <c r="K178" s="210">
        <v>45930</v>
      </c>
      <c r="L178" s="210"/>
      <c r="M178" s="40" t="s">
        <v>193</v>
      </c>
    </row>
    <row r="179" spans="1:13">
      <c r="A179" s="287"/>
      <c r="B179" s="40" t="s">
        <v>102</v>
      </c>
      <c r="C179" s="41" t="s">
        <v>191</v>
      </c>
      <c r="D179" s="115"/>
      <c r="E179" s="40" t="s">
        <v>20</v>
      </c>
      <c r="F179" s="40" t="s">
        <v>18</v>
      </c>
      <c r="G179" s="40" t="s">
        <v>192</v>
      </c>
      <c r="H179" s="43">
        <v>250000</v>
      </c>
      <c r="I179" s="40" t="s">
        <v>15</v>
      </c>
      <c r="J179" s="40"/>
      <c r="K179" s="210">
        <v>45930</v>
      </c>
      <c r="L179" s="210"/>
      <c r="M179" s="40" t="s">
        <v>193</v>
      </c>
    </row>
    <row r="180" spans="1:13">
      <c r="A180" s="39"/>
      <c r="B180" s="40"/>
      <c r="C180" s="41"/>
      <c r="D180" s="115"/>
      <c r="E180" s="40"/>
      <c r="F180" s="40"/>
      <c r="G180" s="40"/>
      <c r="H180" s="43"/>
      <c r="I180" s="40"/>
      <c r="J180" s="40"/>
      <c r="K180" s="40"/>
      <c r="L180" s="40"/>
      <c r="M180" s="40"/>
    </row>
    <row r="181" spans="1:13">
      <c r="A181" s="287">
        <v>2000000</v>
      </c>
      <c r="B181" s="40" t="s">
        <v>196</v>
      </c>
      <c r="C181" s="41" t="s">
        <v>197</v>
      </c>
      <c r="D181" s="115"/>
      <c r="E181" s="40" t="s">
        <v>12</v>
      </c>
      <c r="F181" s="40" t="s">
        <v>39</v>
      </c>
      <c r="G181" s="40" t="s">
        <v>198</v>
      </c>
      <c r="H181" s="43">
        <v>300000</v>
      </c>
      <c r="I181" s="40" t="s">
        <v>15</v>
      </c>
      <c r="J181" s="40"/>
      <c r="K181" s="210">
        <v>45945</v>
      </c>
      <c r="L181" s="210"/>
      <c r="M181" s="40" t="s">
        <v>176</v>
      </c>
    </row>
    <row r="182" spans="1:13">
      <c r="A182" s="287"/>
      <c r="B182" s="40" t="s">
        <v>54</v>
      </c>
      <c r="C182" s="41" t="s">
        <v>199</v>
      </c>
      <c r="D182" s="115"/>
      <c r="E182" s="40" t="s">
        <v>12</v>
      </c>
      <c r="F182" s="40" t="s">
        <v>44</v>
      </c>
      <c r="G182" s="40" t="s">
        <v>198</v>
      </c>
      <c r="H182" s="43">
        <v>500000</v>
      </c>
      <c r="I182" s="40" t="s">
        <v>15</v>
      </c>
      <c r="J182" s="40"/>
      <c r="K182" s="210">
        <v>45945</v>
      </c>
      <c r="L182" s="210"/>
      <c r="M182" s="40" t="s">
        <v>176</v>
      </c>
    </row>
    <row r="183" spans="1:13">
      <c r="A183" s="287"/>
      <c r="B183" s="40" t="s">
        <v>194</v>
      </c>
      <c r="C183" s="41" t="s">
        <v>199</v>
      </c>
      <c r="D183" s="115"/>
      <c r="E183" s="40" t="s">
        <v>12</v>
      </c>
      <c r="F183" s="40" t="s">
        <v>18</v>
      </c>
      <c r="G183" s="40" t="s">
        <v>198</v>
      </c>
      <c r="H183" s="43">
        <v>300000</v>
      </c>
      <c r="I183" s="40" t="s">
        <v>15</v>
      </c>
      <c r="J183" s="40"/>
      <c r="K183" s="210">
        <v>45945</v>
      </c>
      <c r="L183" s="210"/>
      <c r="M183" s="40" t="s">
        <v>176</v>
      </c>
    </row>
    <row r="184" spans="1:13">
      <c r="A184" s="287"/>
      <c r="B184" s="40" t="s">
        <v>173</v>
      </c>
      <c r="C184" s="41" t="s">
        <v>199</v>
      </c>
      <c r="D184" s="115"/>
      <c r="E184" s="40" t="s">
        <v>17</v>
      </c>
      <c r="F184" s="40" t="s">
        <v>18</v>
      </c>
      <c r="G184" s="40" t="s">
        <v>198</v>
      </c>
      <c r="H184" s="43">
        <v>250000</v>
      </c>
      <c r="I184" s="40" t="s">
        <v>15</v>
      </c>
      <c r="J184" s="40"/>
      <c r="K184" s="210">
        <v>45945</v>
      </c>
      <c r="L184" s="210"/>
      <c r="M184" s="40" t="s">
        <v>176</v>
      </c>
    </row>
    <row r="185" spans="1:13">
      <c r="A185" s="287"/>
      <c r="B185" s="40" t="s">
        <v>102</v>
      </c>
      <c r="C185" s="41" t="s">
        <v>199</v>
      </c>
      <c r="D185" s="115"/>
      <c r="E185" s="40" t="s">
        <v>20</v>
      </c>
      <c r="F185" s="40" t="s">
        <v>18</v>
      </c>
      <c r="G185" s="40" t="s">
        <v>198</v>
      </c>
      <c r="H185" s="43">
        <v>250000</v>
      </c>
      <c r="I185" s="40" t="s">
        <v>15</v>
      </c>
      <c r="J185" s="40"/>
      <c r="K185" s="210">
        <v>45945</v>
      </c>
      <c r="L185" s="210"/>
      <c r="M185" s="40" t="s">
        <v>176</v>
      </c>
    </row>
    <row r="186" spans="1:13">
      <c r="A186" s="287"/>
      <c r="B186" s="40" t="s">
        <v>45</v>
      </c>
      <c r="C186" s="41" t="s">
        <v>199</v>
      </c>
      <c r="D186" s="115"/>
      <c r="E186" s="40" t="s">
        <v>20</v>
      </c>
      <c r="F186" s="40" t="s">
        <v>18</v>
      </c>
      <c r="G186" s="40" t="s">
        <v>198</v>
      </c>
      <c r="H186" s="43">
        <v>400000</v>
      </c>
      <c r="I186" s="40" t="s">
        <v>15</v>
      </c>
      <c r="J186" s="40"/>
      <c r="K186" s="210">
        <v>45945</v>
      </c>
      <c r="L186" s="210"/>
      <c r="M186" s="40" t="s">
        <v>176</v>
      </c>
    </row>
    <row r="187" spans="1:13" ht="13">
      <c r="A187" s="39"/>
      <c r="B187" s="40"/>
      <c r="C187" s="41"/>
      <c r="D187" s="115"/>
      <c r="E187" s="40"/>
      <c r="F187" s="40"/>
      <c r="G187" s="48"/>
      <c r="H187" s="43"/>
      <c r="I187" s="40"/>
      <c r="J187" s="40"/>
      <c r="K187" s="40"/>
      <c r="L187" s="40"/>
      <c r="M187" s="40"/>
    </row>
    <row r="188" spans="1:13">
      <c r="A188" s="290">
        <v>500000</v>
      </c>
      <c r="B188" s="40" t="s">
        <v>200</v>
      </c>
      <c r="C188" s="41" t="s">
        <v>201</v>
      </c>
      <c r="D188" s="115"/>
      <c r="E188" s="40" t="s">
        <v>12</v>
      </c>
      <c r="F188" s="40" t="s">
        <v>23</v>
      </c>
      <c r="G188" s="40" t="s">
        <v>202</v>
      </c>
      <c r="H188" s="43">
        <v>50000</v>
      </c>
      <c r="I188" s="40" t="s">
        <v>25</v>
      </c>
      <c r="J188" s="40"/>
      <c r="K188" s="210">
        <v>45945</v>
      </c>
      <c r="L188" s="210"/>
      <c r="M188" s="40" t="s">
        <v>131</v>
      </c>
    </row>
    <row r="189" spans="1:13">
      <c r="A189" s="290"/>
      <c r="B189" s="40" t="s">
        <v>117</v>
      </c>
      <c r="C189" s="41" t="s">
        <v>201</v>
      </c>
      <c r="D189" s="115"/>
      <c r="E189" s="40" t="s">
        <v>12</v>
      </c>
      <c r="F189" s="40" t="s">
        <v>37</v>
      </c>
      <c r="G189" s="40" t="s">
        <v>202</v>
      </c>
      <c r="H189" s="43">
        <v>50000</v>
      </c>
      <c r="I189" s="40" t="s">
        <v>25</v>
      </c>
      <c r="J189" s="40"/>
      <c r="K189" s="210">
        <v>45945</v>
      </c>
      <c r="L189" s="210"/>
      <c r="M189" s="40" t="s">
        <v>131</v>
      </c>
    </row>
    <row r="190" spans="1:13">
      <c r="A190" s="290"/>
      <c r="B190" s="40" t="s">
        <v>203</v>
      </c>
      <c r="C190" s="41" t="s">
        <v>201</v>
      </c>
      <c r="D190" s="115"/>
      <c r="E190" s="40" t="s">
        <v>12</v>
      </c>
      <c r="F190" s="40" t="s">
        <v>44</v>
      </c>
      <c r="G190" s="40" t="s">
        <v>202</v>
      </c>
      <c r="H190" s="43">
        <v>50000</v>
      </c>
      <c r="I190" s="40" t="s">
        <v>25</v>
      </c>
      <c r="J190" s="40"/>
      <c r="K190" s="210">
        <v>45945</v>
      </c>
      <c r="L190" s="210"/>
      <c r="M190" s="40" t="s">
        <v>131</v>
      </c>
    </row>
    <row r="191" spans="1:13">
      <c r="A191" s="290"/>
      <c r="B191" s="40" t="s">
        <v>102</v>
      </c>
      <c r="C191" s="41" t="s">
        <v>201</v>
      </c>
      <c r="D191" s="115"/>
      <c r="E191" s="40" t="s">
        <v>20</v>
      </c>
      <c r="F191" s="40" t="s">
        <v>18</v>
      </c>
      <c r="G191" s="40" t="s">
        <v>202</v>
      </c>
      <c r="H191" s="43">
        <v>200000</v>
      </c>
      <c r="I191" s="40" t="s">
        <v>25</v>
      </c>
      <c r="J191" s="40"/>
      <c r="K191" s="210">
        <v>45945</v>
      </c>
      <c r="L191" s="210"/>
      <c r="M191" s="40" t="s">
        <v>131</v>
      </c>
    </row>
    <row r="192" spans="1:13">
      <c r="A192" s="290"/>
      <c r="B192" s="40" t="s">
        <v>103</v>
      </c>
      <c r="C192" s="41" t="s">
        <v>201</v>
      </c>
      <c r="D192" s="115"/>
      <c r="E192" s="40" t="s">
        <v>12</v>
      </c>
      <c r="F192" s="40" t="s">
        <v>44</v>
      </c>
      <c r="G192" s="40" t="s">
        <v>202</v>
      </c>
      <c r="H192" s="43">
        <v>100000</v>
      </c>
      <c r="I192" s="40" t="s">
        <v>25</v>
      </c>
      <c r="J192" s="40"/>
      <c r="K192" s="210">
        <v>45945</v>
      </c>
      <c r="L192" s="210"/>
      <c r="M192" s="40" t="s">
        <v>131</v>
      </c>
    </row>
    <row r="193" spans="1:14">
      <c r="A193" s="290"/>
      <c r="B193" s="40" t="s">
        <v>204</v>
      </c>
      <c r="C193" s="41" t="s">
        <v>201</v>
      </c>
      <c r="D193" s="115"/>
      <c r="E193" s="40" t="s">
        <v>12</v>
      </c>
      <c r="F193" s="40" t="s">
        <v>37</v>
      </c>
      <c r="G193" s="40" t="s">
        <v>202</v>
      </c>
      <c r="H193" s="43">
        <v>50000</v>
      </c>
      <c r="I193" s="40" t="s">
        <v>25</v>
      </c>
      <c r="J193" s="40"/>
      <c r="K193" s="210">
        <v>45945</v>
      </c>
      <c r="L193" s="210"/>
      <c r="M193" s="40" t="s">
        <v>131</v>
      </c>
    </row>
    <row r="194" spans="1:14">
      <c r="A194" s="39"/>
      <c r="B194" s="40"/>
      <c r="C194" s="41"/>
      <c r="D194" s="115"/>
      <c r="E194" s="40"/>
      <c r="F194" s="40"/>
      <c r="G194" s="40"/>
      <c r="H194" s="43"/>
      <c r="I194" s="40"/>
      <c r="J194" s="40"/>
      <c r="K194" s="40"/>
      <c r="L194" s="40"/>
      <c r="M194" s="40"/>
    </row>
    <row r="195" spans="1:14">
      <c r="A195" s="39"/>
      <c r="B195" s="40"/>
      <c r="C195" s="41"/>
      <c r="D195" s="115"/>
      <c r="E195" s="40"/>
      <c r="F195" s="40"/>
      <c r="G195" s="40"/>
      <c r="H195" s="43"/>
      <c r="I195" s="40"/>
      <c r="J195" s="40"/>
      <c r="K195" s="210">
        <v>45954</v>
      </c>
      <c r="L195" s="210"/>
      <c r="M195" s="40" t="s">
        <v>176</v>
      </c>
    </row>
    <row r="196" spans="1:14">
      <c r="A196" s="290">
        <v>3000000</v>
      </c>
      <c r="B196" s="40" t="s">
        <v>173</v>
      </c>
      <c r="C196" s="40" t="s">
        <v>205</v>
      </c>
      <c r="D196" s="104"/>
      <c r="E196" s="40" t="s">
        <v>17</v>
      </c>
      <c r="F196" s="40" t="s">
        <v>18</v>
      </c>
      <c r="G196" s="44" t="s">
        <v>206</v>
      </c>
      <c r="H196" s="43">
        <v>250000</v>
      </c>
      <c r="I196" s="40" t="s">
        <v>15</v>
      </c>
      <c r="J196" s="40"/>
      <c r="K196" s="210">
        <v>45954</v>
      </c>
      <c r="L196" s="210"/>
      <c r="M196" s="40" t="s">
        <v>176</v>
      </c>
      <c r="N196" s="40"/>
    </row>
    <row r="197" spans="1:14">
      <c r="A197" s="290"/>
      <c r="B197" s="40" t="s">
        <v>141</v>
      </c>
      <c r="C197" s="40" t="s">
        <v>205</v>
      </c>
      <c r="D197" s="104"/>
      <c r="E197" s="40" t="s">
        <v>17</v>
      </c>
      <c r="F197" s="40" t="s">
        <v>44</v>
      </c>
      <c r="G197" s="44" t="s">
        <v>206</v>
      </c>
      <c r="H197" s="43">
        <v>150000</v>
      </c>
      <c r="I197" s="40" t="s">
        <v>15</v>
      </c>
      <c r="J197" s="40"/>
      <c r="K197" s="210">
        <v>45954</v>
      </c>
      <c r="L197" s="210"/>
      <c r="M197" s="40" t="s">
        <v>176</v>
      </c>
      <c r="N197" s="40"/>
    </row>
    <row r="198" spans="1:14">
      <c r="A198" s="290"/>
      <c r="B198" s="40" t="s">
        <v>196</v>
      </c>
      <c r="C198" s="40" t="s">
        <v>205</v>
      </c>
      <c r="D198" s="104"/>
      <c r="E198" s="40" t="s">
        <v>12</v>
      </c>
      <c r="F198" s="40" t="s">
        <v>39</v>
      </c>
      <c r="G198" s="44" t="s">
        <v>206</v>
      </c>
      <c r="H198" s="43">
        <v>350000</v>
      </c>
      <c r="I198" s="40" t="s">
        <v>15</v>
      </c>
      <c r="J198" s="40"/>
      <c r="K198" s="210">
        <v>45954</v>
      </c>
      <c r="L198" s="210"/>
      <c r="M198" s="40" t="s">
        <v>176</v>
      </c>
      <c r="N198" s="40"/>
    </row>
    <row r="199" spans="1:14">
      <c r="A199" s="290"/>
      <c r="B199" s="40" t="s">
        <v>126</v>
      </c>
      <c r="C199" s="40" t="s">
        <v>205</v>
      </c>
      <c r="D199" s="104"/>
      <c r="E199" s="40" t="s">
        <v>20</v>
      </c>
      <c r="F199" s="40" t="s">
        <v>18</v>
      </c>
      <c r="G199" s="44" t="s">
        <v>206</v>
      </c>
      <c r="H199" s="203">
        <v>250000</v>
      </c>
      <c r="I199" s="40" t="s">
        <v>15</v>
      </c>
      <c r="J199" s="40"/>
      <c r="K199" s="210">
        <v>45954</v>
      </c>
      <c r="L199" s="210"/>
      <c r="M199" s="40" t="s">
        <v>176</v>
      </c>
      <c r="N199" s="40"/>
    </row>
    <row r="200" spans="1:14">
      <c r="A200" s="290"/>
      <c r="B200" s="40" t="s">
        <v>207</v>
      </c>
      <c r="C200" s="40" t="s">
        <v>205</v>
      </c>
      <c r="D200" s="104"/>
      <c r="E200" s="40" t="s">
        <v>20</v>
      </c>
      <c r="F200" s="40" t="s">
        <v>208</v>
      </c>
      <c r="G200" s="44" t="s">
        <v>206</v>
      </c>
      <c r="H200" s="43">
        <v>250000</v>
      </c>
      <c r="I200" s="40" t="s">
        <v>15</v>
      </c>
      <c r="J200" s="40"/>
      <c r="K200" s="210">
        <v>45954</v>
      </c>
      <c r="L200" s="210"/>
      <c r="M200" s="40" t="s">
        <v>176</v>
      </c>
      <c r="N200" s="40"/>
    </row>
    <row r="201" spans="1:14">
      <c r="A201" s="290"/>
      <c r="B201" s="40" t="s">
        <v>75</v>
      </c>
      <c r="C201" s="40" t="s">
        <v>205</v>
      </c>
      <c r="D201" s="104"/>
      <c r="E201" s="40" t="s">
        <v>20</v>
      </c>
      <c r="F201" s="40" t="s">
        <v>37</v>
      </c>
      <c r="G201" s="44" t="s">
        <v>206</v>
      </c>
      <c r="H201" s="43">
        <v>500000</v>
      </c>
      <c r="I201" s="40" t="s">
        <v>15</v>
      </c>
      <c r="J201" s="40"/>
      <c r="K201" s="210">
        <v>45954</v>
      </c>
      <c r="L201" s="210"/>
      <c r="M201" s="40" t="s">
        <v>176</v>
      </c>
      <c r="N201" s="40"/>
    </row>
    <row r="202" spans="1:14">
      <c r="A202" s="290"/>
      <c r="B202" s="40" t="s">
        <v>45</v>
      </c>
      <c r="C202" s="40" t="s">
        <v>205</v>
      </c>
      <c r="D202" s="104"/>
      <c r="E202" s="40" t="s">
        <v>20</v>
      </c>
      <c r="F202" s="40" t="s">
        <v>18</v>
      </c>
      <c r="G202" s="44" t="s">
        <v>206</v>
      </c>
      <c r="H202" s="43">
        <v>1000000</v>
      </c>
      <c r="I202" s="40" t="s">
        <v>15</v>
      </c>
      <c r="J202" s="40"/>
      <c r="K202" s="210">
        <v>45954</v>
      </c>
      <c r="L202" s="210"/>
      <c r="M202" s="40" t="s">
        <v>176</v>
      </c>
      <c r="N202" s="67"/>
    </row>
    <row r="203" spans="1:14">
      <c r="A203" s="290"/>
      <c r="B203" s="76" t="s">
        <v>106</v>
      </c>
      <c r="C203" s="40" t="s">
        <v>205</v>
      </c>
      <c r="D203" s="104"/>
      <c r="E203" s="40" t="s">
        <v>20</v>
      </c>
      <c r="F203" s="40" t="s">
        <v>18</v>
      </c>
      <c r="G203" s="44" t="s">
        <v>206</v>
      </c>
      <c r="H203" s="43">
        <v>150000</v>
      </c>
      <c r="I203" s="40" t="s">
        <v>15</v>
      </c>
      <c r="J203" s="40"/>
      <c r="K203" s="210">
        <v>45954</v>
      </c>
      <c r="L203" s="210"/>
      <c r="M203" s="40" t="s">
        <v>176</v>
      </c>
    </row>
    <row r="204" spans="1:14">
      <c r="A204" s="290"/>
      <c r="B204" s="40" t="s">
        <v>209</v>
      </c>
      <c r="C204" s="40" t="s">
        <v>205</v>
      </c>
      <c r="D204" s="104"/>
      <c r="E204" s="40" t="s">
        <v>20</v>
      </c>
      <c r="F204" s="40" t="s">
        <v>44</v>
      </c>
      <c r="G204" s="44" t="s">
        <v>206</v>
      </c>
      <c r="H204" s="43">
        <v>100000</v>
      </c>
      <c r="I204" s="40" t="s">
        <v>15</v>
      </c>
      <c r="J204" s="40"/>
      <c r="K204" s="210">
        <v>45954</v>
      </c>
      <c r="L204" s="210"/>
      <c r="M204" s="40" t="s">
        <v>176</v>
      </c>
    </row>
    <row r="205" spans="1:14">
      <c r="A205" s="77"/>
      <c r="B205" s="40"/>
      <c r="C205" s="41"/>
      <c r="D205" s="115"/>
      <c r="E205" s="40"/>
      <c r="F205" s="40"/>
      <c r="G205" s="40"/>
      <c r="H205" s="43"/>
      <c r="I205" s="40"/>
      <c r="J205" s="40"/>
      <c r="K205" s="40"/>
      <c r="L205" s="41"/>
      <c r="M205" s="41"/>
    </row>
    <row r="206" spans="1:14">
      <c r="A206" s="290">
        <v>760000</v>
      </c>
      <c r="B206" s="40" t="s">
        <v>210</v>
      </c>
      <c r="C206" s="41" t="s">
        <v>211</v>
      </c>
      <c r="D206" s="115"/>
      <c r="E206" s="40" t="s">
        <v>12</v>
      </c>
      <c r="F206" s="40" t="s">
        <v>18</v>
      </c>
      <c r="G206" s="40" t="s">
        <v>212</v>
      </c>
      <c r="H206" s="43">
        <v>50000</v>
      </c>
      <c r="I206" s="40" t="s">
        <v>25</v>
      </c>
      <c r="J206" s="40"/>
      <c r="K206" s="210">
        <v>45954</v>
      </c>
      <c r="L206" s="242"/>
      <c r="M206" s="41" t="s">
        <v>213</v>
      </c>
      <c r="N206" s="40"/>
    </row>
    <row r="207" spans="1:14">
      <c r="A207" s="290"/>
      <c r="B207" s="40" t="s">
        <v>214</v>
      </c>
      <c r="C207" s="41" t="s">
        <v>211</v>
      </c>
      <c r="D207" s="115"/>
      <c r="E207" s="40" t="s">
        <v>12</v>
      </c>
      <c r="F207" s="40" t="s">
        <v>44</v>
      </c>
      <c r="G207" s="40" t="s">
        <v>212</v>
      </c>
      <c r="H207" s="43">
        <v>50000</v>
      </c>
      <c r="I207" s="40" t="s">
        <v>25</v>
      </c>
      <c r="J207" s="40"/>
      <c r="K207" s="210">
        <v>45954</v>
      </c>
      <c r="L207" s="242"/>
      <c r="M207" s="41" t="s">
        <v>213</v>
      </c>
      <c r="N207" s="40"/>
    </row>
    <row r="208" spans="1:14">
      <c r="A208" s="290"/>
      <c r="B208" s="40" t="s">
        <v>215</v>
      </c>
      <c r="C208" s="41" t="s">
        <v>211</v>
      </c>
      <c r="D208" s="115"/>
      <c r="E208" s="40" t="s">
        <v>20</v>
      </c>
      <c r="F208" s="40" t="s">
        <v>208</v>
      </c>
      <c r="G208" s="40" t="s">
        <v>212</v>
      </c>
      <c r="H208" s="43">
        <v>110000</v>
      </c>
      <c r="I208" s="40" t="s">
        <v>25</v>
      </c>
      <c r="J208" s="40"/>
      <c r="K208" s="210">
        <v>45954</v>
      </c>
      <c r="L208" s="242"/>
      <c r="M208" s="41" t="s">
        <v>213</v>
      </c>
      <c r="N208" s="40"/>
    </row>
    <row r="209" spans="1:14">
      <c r="A209" s="290"/>
      <c r="B209" s="42" t="s">
        <v>21</v>
      </c>
      <c r="C209" s="41" t="s">
        <v>211</v>
      </c>
      <c r="D209" s="115"/>
      <c r="E209" s="40" t="s">
        <v>20</v>
      </c>
      <c r="F209" s="40" t="s">
        <v>23</v>
      </c>
      <c r="G209" s="40" t="s">
        <v>212</v>
      </c>
      <c r="H209" s="43">
        <v>250000</v>
      </c>
      <c r="I209" s="40" t="s">
        <v>25</v>
      </c>
      <c r="J209" s="40"/>
      <c r="K209" s="210">
        <v>45954</v>
      </c>
      <c r="L209" s="242"/>
      <c r="M209" s="41" t="s">
        <v>213</v>
      </c>
      <c r="N209" s="40"/>
    </row>
    <row r="210" spans="1:14">
      <c r="A210" s="290"/>
      <c r="B210" s="40" t="s">
        <v>106</v>
      </c>
      <c r="C210" s="41" t="s">
        <v>211</v>
      </c>
      <c r="D210" s="115"/>
      <c r="E210" s="40" t="s">
        <v>20</v>
      </c>
      <c r="F210" s="40" t="s">
        <v>18</v>
      </c>
      <c r="G210" s="40" t="s">
        <v>212</v>
      </c>
      <c r="H210" s="43">
        <v>250000</v>
      </c>
      <c r="I210" s="40" t="s">
        <v>25</v>
      </c>
      <c r="J210" s="40"/>
      <c r="K210" s="210">
        <v>45954</v>
      </c>
      <c r="L210" s="242"/>
      <c r="M210" s="41" t="s">
        <v>213</v>
      </c>
      <c r="N210" s="40"/>
    </row>
    <row r="211" spans="1:14">
      <c r="A211" s="290"/>
      <c r="B211" s="40" t="s">
        <v>216</v>
      </c>
      <c r="C211" s="41" t="s">
        <v>211</v>
      </c>
      <c r="D211" s="115"/>
      <c r="E211" s="40" t="s">
        <v>17</v>
      </c>
      <c r="F211" s="40" t="s">
        <v>39</v>
      </c>
      <c r="G211" s="40" t="s">
        <v>212</v>
      </c>
      <c r="H211" s="43">
        <v>50000</v>
      </c>
      <c r="I211" s="40" t="s">
        <v>25</v>
      </c>
      <c r="J211" s="40"/>
      <c r="K211" s="210">
        <v>45954</v>
      </c>
      <c r="L211" s="242"/>
      <c r="M211" s="41" t="s">
        <v>213</v>
      </c>
      <c r="N211" s="40"/>
    </row>
    <row r="212" spans="1:14" ht="13" thickBot="1"/>
    <row r="213" spans="1:14" ht="13" thickBot="1">
      <c r="A213" s="283" t="s">
        <v>228</v>
      </c>
      <c r="B213" s="58" t="s">
        <v>68</v>
      </c>
      <c r="C213" s="40" t="s">
        <v>242</v>
      </c>
      <c r="D213" s="103"/>
      <c r="E213" s="58" t="s">
        <v>20</v>
      </c>
      <c r="F213" s="79"/>
      <c r="G213" s="40" t="s">
        <v>227</v>
      </c>
      <c r="H213" s="60">
        <v>250000</v>
      </c>
      <c r="I213" s="58" t="s">
        <v>53</v>
      </c>
      <c r="J213" s="58"/>
      <c r="K213" s="79"/>
      <c r="L213" s="107"/>
      <c r="M213" s="218"/>
    </row>
    <row r="214" spans="1:14" ht="13" thickBot="1">
      <c r="A214" s="283"/>
      <c r="B214" s="40" t="s">
        <v>97</v>
      </c>
      <c r="C214" s="40" t="s">
        <v>242</v>
      </c>
      <c r="D214" s="104"/>
      <c r="E214" s="40" t="s">
        <v>12</v>
      </c>
      <c r="F214" s="78"/>
      <c r="G214" s="40" t="s">
        <v>227</v>
      </c>
      <c r="H214" s="43">
        <v>50000</v>
      </c>
      <c r="I214" s="58" t="s">
        <v>53</v>
      </c>
      <c r="J214" s="206"/>
      <c r="K214" s="78"/>
      <c r="L214" s="112"/>
      <c r="M214" s="219"/>
    </row>
    <row r="215" spans="1:14" ht="13" thickBot="1">
      <c r="A215" s="283"/>
      <c r="B215" s="80" t="s">
        <v>222</v>
      </c>
      <c r="C215" s="40" t="s">
        <v>242</v>
      </c>
      <c r="D215" s="162"/>
      <c r="E215" s="80" t="s">
        <v>12</v>
      </c>
      <c r="F215" s="81"/>
      <c r="G215" s="80" t="s">
        <v>227</v>
      </c>
      <c r="H215" s="64">
        <v>65000</v>
      </c>
      <c r="I215" s="58" t="s">
        <v>53</v>
      </c>
      <c r="J215" s="54"/>
      <c r="K215" s="82"/>
      <c r="L215" s="120"/>
      <c r="M215" s="220"/>
    </row>
    <row r="216" spans="1:14" ht="13" thickBot="1">
      <c r="A216" s="83"/>
      <c r="B216" s="40" t="s">
        <v>237</v>
      </c>
      <c r="C216" s="40" t="s">
        <v>242</v>
      </c>
      <c r="D216" s="104"/>
      <c r="E216" s="40" t="s">
        <v>111</v>
      </c>
      <c r="F216" s="78"/>
      <c r="G216" s="40" t="s">
        <v>227</v>
      </c>
      <c r="H216" s="84">
        <v>50000</v>
      </c>
      <c r="I216" s="58" t="s">
        <v>53</v>
      </c>
      <c r="J216" s="67"/>
    </row>
    <row r="217" spans="1:14" ht="13" thickBot="1">
      <c r="A217" s="85" t="s">
        <v>219</v>
      </c>
      <c r="H217" s="86">
        <f>SUM(H213:H216)</f>
        <v>415000</v>
      </c>
      <c r="I217" s="58" t="s">
        <v>53</v>
      </c>
      <c r="J217" s="67"/>
    </row>
    <row r="218" spans="1:14" ht="13" thickBot="1">
      <c r="A218" s="87" t="s">
        <v>220</v>
      </c>
      <c r="H218" s="87"/>
    </row>
    <row r="219" spans="1:14" ht="13" thickBot="1">
      <c r="A219" s="88"/>
    </row>
    <row r="220" spans="1:14" ht="13" thickBot="1">
      <c r="A220" s="282" t="s">
        <v>229</v>
      </c>
      <c r="B220" s="89" t="s">
        <v>75</v>
      </c>
      <c r="C220" s="40" t="s">
        <v>243</v>
      </c>
      <c r="D220" s="103"/>
      <c r="E220" s="58" t="s">
        <v>20</v>
      </c>
      <c r="F220" s="79"/>
      <c r="G220" s="40" t="s">
        <v>233</v>
      </c>
      <c r="H220" s="245">
        <v>150000</v>
      </c>
      <c r="I220" s="58" t="s">
        <v>25</v>
      </c>
      <c r="J220" s="58"/>
      <c r="K220" s="79"/>
      <c r="L220" s="107"/>
      <c r="M220" s="218"/>
    </row>
    <row r="221" spans="1:14" ht="13" thickBot="1">
      <c r="A221" s="282"/>
      <c r="B221" s="51" t="s">
        <v>102</v>
      </c>
      <c r="C221" s="40" t="s">
        <v>243</v>
      </c>
      <c r="D221" s="104"/>
      <c r="E221" s="40" t="s">
        <v>20</v>
      </c>
      <c r="F221" s="78"/>
      <c r="G221" s="40" t="s">
        <v>233</v>
      </c>
      <c r="H221" s="244">
        <v>160000</v>
      </c>
      <c r="I221" s="58" t="s">
        <v>25</v>
      </c>
      <c r="J221" s="206"/>
      <c r="K221" s="78"/>
      <c r="L221" s="112"/>
      <c r="M221" s="219"/>
    </row>
    <row r="222" spans="1:14" ht="13" thickBot="1">
      <c r="A222" s="282"/>
      <c r="B222" s="90" t="s">
        <v>217</v>
      </c>
      <c r="C222" s="40" t="s">
        <v>243</v>
      </c>
      <c r="D222" s="162"/>
      <c r="E222" s="80" t="s">
        <v>20</v>
      </c>
      <c r="F222" s="81"/>
      <c r="G222" s="40" t="s">
        <v>233</v>
      </c>
      <c r="H222" s="91">
        <v>70000</v>
      </c>
      <c r="I222" s="92" t="s">
        <v>25</v>
      </c>
      <c r="J222" s="54"/>
      <c r="K222" s="82"/>
      <c r="L222" s="120"/>
      <c r="M222" s="220"/>
    </row>
    <row r="223" spans="1:14">
      <c r="A223" s="93"/>
      <c r="B223" s="51" t="s">
        <v>222</v>
      </c>
      <c r="C223" s="40" t="s">
        <v>243</v>
      </c>
      <c r="D223" s="104"/>
      <c r="E223" s="40" t="s">
        <v>12</v>
      </c>
      <c r="F223" s="78"/>
      <c r="G223" s="40" t="s">
        <v>233</v>
      </c>
      <c r="H223" s="244">
        <v>55000</v>
      </c>
      <c r="I223" s="40" t="s">
        <v>25</v>
      </c>
      <c r="J223" s="67"/>
    </row>
    <row r="224" spans="1:14">
      <c r="A224" s="94"/>
      <c r="B224" s="40" t="s">
        <v>234</v>
      </c>
      <c r="C224" s="40" t="s">
        <v>243</v>
      </c>
      <c r="D224" s="104"/>
      <c r="E224" s="40" t="s">
        <v>17</v>
      </c>
      <c r="F224" s="78"/>
      <c r="G224" s="40" t="s">
        <v>233</v>
      </c>
      <c r="H224" s="43">
        <v>50000</v>
      </c>
      <c r="I224" s="40" t="s">
        <v>25</v>
      </c>
      <c r="J224" s="67"/>
    </row>
    <row r="225" spans="1:13">
      <c r="A225" s="94"/>
      <c r="B225" s="40" t="s">
        <v>255</v>
      </c>
      <c r="C225" s="40" t="s">
        <v>243</v>
      </c>
      <c r="D225" s="104"/>
      <c r="E225" s="40" t="s">
        <v>20</v>
      </c>
      <c r="F225" s="78"/>
      <c r="G225" s="40" t="s">
        <v>233</v>
      </c>
      <c r="H225" s="43">
        <v>50000</v>
      </c>
      <c r="I225" s="40"/>
      <c r="J225" s="67"/>
    </row>
    <row r="226" spans="1:13" ht="13" thickBot="1">
      <c r="A226" s="95"/>
      <c r="B226" s="40" t="s">
        <v>214</v>
      </c>
      <c r="C226" s="40" t="s">
        <v>243</v>
      </c>
      <c r="D226" s="104" t="s">
        <v>248</v>
      </c>
      <c r="E226" s="40" t="s">
        <v>12</v>
      </c>
      <c r="F226" s="78"/>
      <c r="G226" s="40" t="s">
        <v>233</v>
      </c>
      <c r="H226" s="244">
        <v>50000</v>
      </c>
      <c r="I226" s="40" t="s">
        <v>25</v>
      </c>
      <c r="J226" s="67"/>
    </row>
    <row r="227" spans="1:13" ht="13" thickBot="1">
      <c r="A227" s="95"/>
      <c r="B227" s="40" t="s">
        <v>19</v>
      </c>
      <c r="C227" s="40" t="s">
        <v>243</v>
      </c>
      <c r="D227" s="104"/>
      <c r="E227" s="40" t="s">
        <v>20</v>
      </c>
      <c r="F227" s="78"/>
      <c r="G227" s="40" t="s">
        <v>383</v>
      </c>
      <c r="H227" s="244">
        <v>70000</v>
      </c>
      <c r="I227" s="40"/>
      <c r="J227" s="67"/>
    </row>
    <row r="228" spans="1:13" ht="13" thickBot="1">
      <c r="A228" s="86" t="s">
        <v>219</v>
      </c>
      <c r="E228" s="80"/>
      <c r="H228" s="85">
        <f>SUM(H220:H227)</f>
        <v>655000</v>
      </c>
    </row>
    <row r="229" spans="1:13" ht="13" thickBot="1">
      <c r="A229" s="87" t="s">
        <v>220</v>
      </c>
      <c r="H229" s="87"/>
    </row>
    <row r="230" spans="1:13" ht="13" thickBot="1"/>
    <row r="231" spans="1:13" ht="13" thickBot="1">
      <c r="A231" s="283" t="s">
        <v>230</v>
      </c>
      <c r="B231" s="58" t="s">
        <v>19</v>
      </c>
      <c r="C231" s="58" t="s">
        <v>244</v>
      </c>
      <c r="D231" s="103"/>
      <c r="E231" s="58" t="s">
        <v>20</v>
      </c>
      <c r="F231" s="79"/>
      <c r="G231" s="58" t="s">
        <v>232</v>
      </c>
      <c r="H231" s="60">
        <v>300000</v>
      </c>
      <c r="I231" s="61" t="s">
        <v>15</v>
      </c>
      <c r="J231" s="61"/>
      <c r="K231" s="79"/>
      <c r="L231" s="107"/>
      <c r="M231" s="218"/>
    </row>
    <row r="232" spans="1:13" ht="13" thickBot="1">
      <c r="A232" s="283"/>
      <c r="B232" s="40" t="s">
        <v>218</v>
      </c>
      <c r="C232" s="40" t="s">
        <v>244</v>
      </c>
      <c r="D232" s="104"/>
      <c r="E232" s="40" t="s">
        <v>20</v>
      </c>
      <c r="F232" s="78"/>
      <c r="G232" s="40" t="s">
        <v>232</v>
      </c>
      <c r="H232" s="43">
        <v>200000</v>
      </c>
      <c r="I232" s="61" t="s">
        <v>15</v>
      </c>
      <c r="J232" s="207"/>
      <c r="K232" s="78"/>
      <c r="L232" s="112"/>
      <c r="M232" s="219"/>
    </row>
    <row r="233" spans="1:13" ht="13" thickBot="1">
      <c r="A233" s="283"/>
      <c r="B233" s="40" t="s">
        <v>223</v>
      </c>
      <c r="C233" s="40" t="s">
        <v>244</v>
      </c>
      <c r="D233" s="104"/>
      <c r="E233" s="40" t="s">
        <v>224</v>
      </c>
      <c r="F233" s="78"/>
      <c r="G233" s="40" t="s">
        <v>232</v>
      </c>
      <c r="H233" s="43">
        <v>100000</v>
      </c>
      <c r="I233" s="61" t="s">
        <v>15</v>
      </c>
      <c r="J233" s="207"/>
      <c r="K233" s="78"/>
      <c r="L233" s="112"/>
      <c r="M233" s="219"/>
    </row>
    <row r="234" spans="1:13" ht="13" thickBot="1">
      <c r="A234" s="283"/>
      <c r="B234" s="40" t="s">
        <v>231</v>
      </c>
      <c r="C234" s="80" t="s">
        <v>244</v>
      </c>
      <c r="D234" s="162"/>
      <c r="E234" s="80" t="s">
        <v>224</v>
      </c>
      <c r="F234" s="81"/>
      <c r="G234" s="80" t="s">
        <v>232</v>
      </c>
      <c r="H234" s="91">
        <v>100000</v>
      </c>
      <c r="I234" s="96" t="s">
        <v>15</v>
      </c>
      <c r="J234" s="208"/>
      <c r="K234" s="78"/>
      <c r="L234" s="112"/>
      <c r="M234" s="219"/>
    </row>
    <row r="235" spans="1:13" ht="13" thickBot="1">
      <c r="A235" s="283"/>
      <c r="B235" s="40" t="s">
        <v>173</v>
      </c>
      <c r="C235" s="40" t="s">
        <v>244</v>
      </c>
      <c r="D235" s="104" t="s">
        <v>226</v>
      </c>
      <c r="E235" s="40" t="s">
        <v>17</v>
      </c>
      <c r="F235" s="78"/>
      <c r="G235" s="40" t="s">
        <v>232</v>
      </c>
      <c r="H235" s="43">
        <v>250000</v>
      </c>
      <c r="I235" s="42" t="s">
        <v>15</v>
      </c>
      <c r="J235" s="42"/>
      <c r="K235" s="78"/>
      <c r="L235" s="112"/>
      <c r="M235" s="219"/>
    </row>
    <row r="236" spans="1:13" ht="13" thickBot="1">
      <c r="A236" s="283"/>
      <c r="B236" s="80" t="s">
        <v>74</v>
      </c>
      <c r="C236" s="40" t="s">
        <v>244</v>
      </c>
      <c r="D236" s="104" t="s">
        <v>226</v>
      </c>
      <c r="E236" s="40" t="s">
        <v>17</v>
      </c>
      <c r="F236" s="78"/>
      <c r="G236" s="40" t="s">
        <v>232</v>
      </c>
      <c r="H236" s="43">
        <v>150000</v>
      </c>
      <c r="I236" s="42" t="s">
        <v>15</v>
      </c>
      <c r="J236" s="42"/>
      <c r="K236" s="78"/>
      <c r="L236" s="112"/>
      <c r="M236" s="219"/>
    </row>
    <row r="237" spans="1:13" ht="13" thickBot="1">
      <c r="A237" s="283"/>
      <c r="B237" s="40" t="s">
        <v>221</v>
      </c>
      <c r="C237" s="40" t="s">
        <v>244</v>
      </c>
      <c r="D237" s="104" t="s">
        <v>226</v>
      </c>
      <c r="E237" s="40" t="s">
        <v>17</v>
      </c>
      <c r="F237" s="78"/>
      <c r="G237" s="40" t="s">
        <v>232</v>
      </c>
      <c r="H237" s="43">
        <v>200000</v>
      </c>
      <c r="I237" s="42" t="s">
        <v>15</v>
      </c>
      <c r="J237" s="42"/>
      <c r="K237" s="78"/>
      <c r="L237" s="112"/>
      <c r="M237" s="219"/>
    </row>
    <row r="238" spans="1:13" ht="13" thickBot="1">
      <c r="A238" s="283"/>
      <c r="B238" s="40" t="s">
        <v>54</v>
      </c>
      <c r="C238" s="40" t="s">
        <v>244</v>
      </c>
      <c r="D238" s="104" t="s">
        <v>248</v>
      </c>
      <c r="E238" s="40" t="s">
        <v>12</v>
      </c>
      <c r="F238" s="78"/>
      <c r="G238" s="40" t="s">
        <v>232</v>
      </c>
      <c r="H238" s="43">
        <v>500000</v>
      </c>
      <c r="I238" s="42" t="s">
        <v>15</v>
      </c>
      <c r="J238" s="97"/>
      <c r="K238" s="81"/>
      <c r="L238" s="137"/>
      <c r="M238" s="221"/>
    </row>
    <row r="239" spans="1:13">
      <c r="A239" s="283"/>
      <c r="B239" s="80" t="s">
        <v>236</v>
      </c>
      <c r="C239" s="80" t="s">
        <v>244</v>
      </c>
      <c r="D239" s="162" t="s">
        <v>248</v>
      </c>
      <c r="E239" s="80" t="s">
        <v>12</v>
      </c>
      <c r="F239" s="81"/>
      <c r="G239" s="80" t="s">
        <v>232</v>
      </c>
      <c r="H239" s="91">
        <v>150000</v>
      </c>
      <c r="I239" s="97" t="s">
        <v>15</v>
      </c>
      <c r="J239" s="97"/>
      <c r="K239" s="81"/>
      <c r="L239" s="137"/>
      <c r="M239" s="221"/>
    </row>
    <row r="240" spans="1:13" s="197" customFormat="1" ht="13" thickBot="1">
      <c r="A240" s="198"/>
      <c r="B240" s="199" t="s">
        <v>126</v>
      </c>
      <c r="C240" s="199" t="s">
        <v>244</v>
      </c>
      <c r="D240" s="200" t="s">
        <v>248</v>
      </c>
      <c r="E240" s="199" t="s">
        <v>238</v>
      </c>
      <c r="F240" s="201"/>
      <c r="G240" s="80" t="s">
        <v>232</v>
      </c>
      <c r="H240" s="202">
        <v>250000</v>
      </c>
      <c r="I240" s="196" t="s">
        <v>15</v>
      </c>
      <c r="J240" s="209"/>
      <c r="K240" s="82"/>
      <c r="L240" s="120"/>
      <c r="M240" s="220"/>
    </row>
    <row r="241" spans="1:10" ht="13" thickBot="1">
      <c r="A241" s="85" t="s">
        <v>219</v>
      </c>
      <c r="H241" s="85">
        <f>SUM(H231:H240)</f>
        <v>2200000</v>
      </c>
    </row>
    <row r="242" spans="1:10" ht="13" thickBot="1">
      <c r="A242" s="87" t="s">
        <v>220</v>
      </c>
      <c r="B242" s="98" t="s">
        <v>235</v>
      </c>
      <c r="H242" s="87"/>
    </row>
    <row r="244" spans="1:10" ht="13" thickBot="1">
      <c r="A244" s="99">
        <v>45979</v>
      </c>
    </row>
    <row r="245" spans="1:10" ht="13" thickBot="1">
      <c r="A245" s="282" t="s">
        <v>240</v>
      </c>
      <c r="B245" s="100" t="s">
        <v>214</v>
      </c>
      <c r="C245" s="80" t="s">
        <v>245</v>
      </c>
      <c r="D245" s="164"/>
      <c r="E245" s="92" t="s">
        <v>12</v>
      </c>
      <c r="F245" s="101" t="s">
        <v>37</v>
      </c>
      <c r="G245" s="78" t="s">
        <v>239</v>
      </c>
      <c r="H245" s="102">
        <v>50000</v>
      </c>
      <c r="I245" s="92" t="s">
        <v>25</v>
      </c>
      <c r="J245" s="67"/>
    </row>
    <row r="246" spans="1:10" ht="13" thickBot="1">
      <c r="A246" s="282"/>
      <c r="B246" s="40" t="s">
        <v>19</v>
      </c>
      <c r="C246" s="40" t="s">
        <v>245</v>
      </c>
      <c r="D246" s="104"/>
      <c r="E246" s="40" t="s">
        <v>20</v>
      </c>
      <c r="F246" s="78" t="s">
        <v>18</v>
      </c>
      <c r="G246" s="78" t="s">
        <v>239</v>
      </c>
      <c r="H246" s="43">
        <v>175000</v>
      </c>
      <c r="I246" s="40" t="s">
        <v>25</v>
      </c>
      <c r="J246" s="67"/>
    </row>
    <row r="247" spans="1:10" ht="13" thickBot="1">
      <c r="A247" s="282"/>
      <c r="B247" s="40" t="s">
        <v>102</v>
      </c>
      <c r="C247" s="40" t="s">
        <v>245</v>
      </c>
      <c r="D247" s="104"/>
      <c r="E247" s="40" t="s">
        <v>20</v>
      </c>
      <c r="F247" s="78" t="s">
        <v>18</v>
      </c>
      <c r="G247" s="78" t="s">
        <v>239</v>
      </c>
      <c r="H247" s="43">
        <v>175000</v>
      </c>
      <c r="I247" s="40" t="s">
        <v>25</v>
      </c>
      <c r="J247" s="67"/>
    </row>
    <row r="248" spans="1:10" ht="13" thickBot="1">
      <c r="A248" s="282"/>
      <c r="B248" s="40" t="s">
        <v>250</v>
      </c>
      <c r="C248" s="40" t="s">
        <v>245</v>
      </c>
      <c r="D248" s="104" t="s">
        <v>248</v>
      </c>
      <c r="E248" s="40" t="s">
        <v>12</v>
      </c>
      <c r="F248" s="78" t="s">
        <v>18</v>
      </c>
      <c r="G248" s="78" t="s">
        <v>239</v>
      </c>
      <c r="H248" s="43">
        <v>50000</v>
      </c>
      <c r="I248" s="40" t="s">
        <v>25</v>
      </c>
      <c r="J248" s="67"/>
    </row>
    <row r="249" spans="1:10">
      <c r="A249" s="282"/>
      <c r="B249" s="40" t="s">
        <v>255</v>
      </c>
      <c r="C249" s="40" t="s">
        <v>245</v>
      </c>
      <c r="D249" s="104"/>
      <c r="E249" s="40"/>
      <c r="F249" s="78"/>
      <c r="G249" s="78" t="s">
        <v>239</v>
      </c>
      <c r="H249" s="43">
        <v>50000</v>
      </c>
      <c r="I249" s="40" t="s">
        <v>25</v>
      </c>
      <c r="J249" s="67"/>
    </row>
    <row r="250" spans="1:10" ht="13" thickBot="1">
      <c r="A250" s="95"/>
      <c r="B250" s="40"/>
      <c r="C250" s="40" t="s">
        <v>245</v>
      </c>
      <c r="D250" s="104"/>
      <c r="E250" s="40"/>
      <c r="F250" s="78"/>
      <c r="G250" s="78" t="s">
        <v>239</v>
      </c>
      <c r="H250" s="43"/>
      <c r="I250" s="40" t="s">
        <v>25</v>
      </c>
      <c r="J250" s="67"/>
    </row>
    <row r="251" spans="1:10" ht="13" thickBot="1">
      <c r="A251" s="95"/>
      <c r="B251" s="40"/>
      <c r="C251" s="40" t="s">
        <v>245</v>
      </c>
      <c r="D251" s="104"/>
      <c r="E251" s="40"/>
      <c r="F251" s="78"/>
      <c r="G251" s="40"/>
      <c r="H251" s="43"/>
      <c r="I251" s="40"/>
      <c r="J251" s="67"/>
    </row>
    <row r="252" spans="1:10" ht="13" thickBot="1">
      <c r="A252" s="86" t="s">
        <v>219</v>
      </c>
      <c r="H252" s="85">
        <f>SUM(H245:H251)</f>
        <v>500000</v>
      </c>
    </row>
    <row r="253" spans="1:10" ht="13" thickBot="1">
      <c r="A253" s="87" t="s">
        <v>220</v>
      </c>
      <c r="H253" s="87"/>
    </row>
    <row r="255" spans="1:10" ht="13" thickBot="1">
      <c r="A255" s="99">
        <v>45978</v>
      </c>
    </row>
    <row r="256" spans="1:10" ht="13" thickBot="1">
      <c r="A256" s="288" t="s">
        <v>230</v>
      </c>
      <c r="B256" s="58" t="s">
        <v>54</v>
      </c>
      <c r="C256" s="40" t="s">
        <v>245</v>
      </c>
      <c r="D256" s="103" t="s">
        <v>248</v>
      </c>
      <c r="E256" s="58" t="s">
        <v>12</v>
      </c>
      <c r="F256" s="79" t="s">
        <v>44</v>
      </c>
      <c r="G256" s="78" t="s">
        <v>241</v>
      </c>
      <c r="H256" s="60">
        <v>600000</v>
      </c>
      <c r="I256" s="61" t="s">
        <v>15</v>
      </c>
      <c r="J256" s="69"/>
    </row>
    <row r="257" spans="1:10" ht="13" thickBot="1">
      <c r="A257" s="288"/>
      <c r="B257" s="40" t="s">
        <v>246</v>
      </c>
      <c r="C257" s="40" t="s">
        <v>245</v>
      </c>
      <c r="D257" s="103" t="s">
        <v>247</v>
      </c>
      <c r="E257" s="40" t="s">
        <v>17</v>
      </c>
      <c r="F257" s="103" t="s">
        <v>18</v>
      </c>
      <c r="G257" s="78" t="s">
        <v>241</v>
      </c>
      <c r="H257" s="43">
        <v>250000</v>
      </c>
      <c r="I257" s="61" t="s">
        <v>15</v>
      </c>
      <c r="J257" s="69"/>
    </row>
    <row r="258" spans="1:10" ht="13" thickBot="1">
      <c r="A258" s="288"/>
      <c r="B258" s="40" t="s">
        <v>221</v>
      </c>
      <c r="C258" s="40" t="s">
        <v>245</v>
      </c>
      <c r="D258" s="103"/>
      <c r="E258" s="40" t="s">
        <v>17</v>
      </c>
      <c r="F258" s="78" t="s">
        <v>44</v>
      </c>
      <c r="G258" s="78" t="s">
        <v>241</v>
      </c>
      <c r="H258" s="43">
        <v>100000</v>
      </c>
      <c r="I258" s="61" t="s">
        <v>15</v>
      </c>
      <c r="J258" s="69"/>
    </row>
    <row r="259" spans="1:10" ht="13" thickBot="1">
      <c r="A259" s="288"/>
      <c r="B259" s="40" t="s">
        <v>163</v>
      </c>
      <c r="C259" s="40" t="s">
        <v>245</v>
      </c>
      <c r="D259" s="103" t="s">
        <v>247</v>
      </c>
      <c r="E259" s="40" t="s">
        <v>17</v>
      </c>
      <c r="F259" s="103" t="s">
        <v>37</v>
      </c>
      <c r="G259" s="78" t="s">
        <v>241</v>
      </c>
      <c r="H259" s="43">
        <v>150000</v>
      </c>
      <c r="I259" s="61" t="s">
        <v>15</v>
      </c>
      <c r="J259" s="69"/>
    </row>
    <row r="260" spans="1:10" ht="13" thickBot="1">
      <c r="A260" s="288"/>
      <c r="B260" s="40" t="s">
        <v>196</v>
      </c>
      <c r="C260" s="40" t="s">
        <v>245</v>
      </c>
      <c r="D260" s="104" t="s">
        <v>248</v>
      </c>
      <c r="E260" s="40" t="s">
        <v>12</v>
      </c>
      <c r="F260" s="78" t="s">
        <v>39</v>
      </c>
      <c r="G260" s="78" t="s">
        <v>241</v>
      </c>
      <c r="H260" s="43">
        <v>350000</v>
      </c>
      <c r="I260" s="61" t="s">
        <v>15</v>
      </c>
      <c r="J260" s="69"/>
    </row>
    <row r="261" spans="1:10" ht="13" thickBot="1">
      <c r="A261" s="288"/>
      <c r="B261" s="40" t="s">
        <v>209</v>
      </c>
      <c r="C261" s="40" t="s">
        <v>245</v>
      </c>
      <c r="D261" s="104" t="s">
        <v>249</v>
      </c>
      <c r="E261" s="40" t="s">
        <v>20</v>
      </c>
      <c r="F261" s="78" t="s">
        <v>44</v>
      </c>
      <c r="G261" s="78" t="s">
        <v>241</v>
      </c>
      <c r="H261" s="43">
        <v>200000</v>
      </c>
      <c r="I261" s="61" t="s">
        <v>15</v>
      </c>
      <c r="J261" s="69"/>
    </row>
    <row r="262" spans="1:10" ht="13" thickBot="1">
      <c r="A262" s="288"/>
      <c r="B262" s="40" t="s">
        <v>134</v>
      </c>
      <c r="C262" s="40" t="s">
        <v>245</v>
      </c>
      <c r="D262" s="104" t="s">
        <v>249</v>
      </c>
      <c r="E262" s="40" t="s">
        <v>20</v>
      </c>
      <c r="F262" s="78" t="s">
        <v>18</v>
      </c>
      <c r="G262" s="78" t="s">
        <v>241</v>
      </c>
      <c r="H262" s="43">
        <v>250000</v>
      </c>
      <c r="I262" s="61" t="s">
        <v>15</v>
      </c>
      <c r="J262" s="69"/>
    </row>
    <row r="263" spans="1:10" ht="13" thickBot="1">
      <c r="A263" s="288"/>
      <c r="B263" s="80" t="s">
        <v>207</v>
      </c>
      <c r="C263" s="40" t="s">
        <v>245</v>
      </c>
      <c r="D263" s="104"/>
      <c r="E263" s="40" t="s">
        <v>20</v>
      </c>
      <c r="F263" s="81" t="s">
        <v>254</v>
      </c>
      <c r="G263" s="78" t="s">
        <v>241</v>
      </c>
      <c r="H263" s="91">
        <v>100000</v>
      </c>
      <c r="I263" s="61" t="s">
        <v>15</v>
      </c>
      <c r="J263" s="69"/>
    </row>
    <row r="264" spans="1:10">
      <c r="A264" s="288"/>
      <c r="B264" s="80"/>
      <c r="C264" s="40" t="s">
        <v>245</v>
      </c>
      <c r="D264" s="162"/>
      <c r="E264" s="80"/>
      <c r="F264" s="81"/>
      <c r="G264" s="78" t="s">
        <v>241</v>
      </c>
      <c r="H264" s="91"/>
      <c r="I264" s="61" t="s">
        <v>15</v>
      </c>
      <c r="J264" s="69"/>
    </row>
    <row r="265" spans="1:10" ht="13" thickBot="1">
      <c r="A265" s="94"/>
      <c r="B265" s="40"/>
      <c r="C265" s="40" t="s">
        <v>245</v>
      </c>
      <c r="D265" s="104"/>
      <c r="E265" s="40"/>
      <c r="F265" s="78"/>
      <c r="G265" s="78" t="s">
        <v>241</v>
      </c>
      <c r="H265" s="43"/>
    </row>
    <row r="266" spans="1:10" ht="13" thickBot="1">
      <c r="A266" s="86" t="s">
        <v>219</v>
      </c>
      <c r="H266" s="85">
        <f>SUM(H256:H265)</f>
        <v>2000000</v>
      </c>
    </row>
    <row r="267" spans="1:10" ht="13" thickBot="1">
      <c r="A267" s="87" t="s">
        <v>220</v>
      </c>
      <c r="B267" s="38"/>
      <c r="H267" s="87"/>
    </row>
    <row r="269" spans="1:10" ht="13" thickBot="1">
      <c r="A269" s="99">
        <v>45988</v>
      </c>
    </row>
    <row r="270" spans="1:10" ht="13" thickBot="1">
      <c r="A270" s="289" t="s">
        <v>230</v>
      </c>
      <c r="B270" s="92" t="s">
        <v>246</v>
      </c>
      <c r="C270" s="80" t="s">
        <v>257</v>
      </c>
      <c r="D270" s="164"/>
      <c r="E270" s="92" t="s">
        <v>252</v>
      </c>
      <c r="F270" s="101"/>
      <c r="G270" s="78" t="s">
        <v>251</v>
      </c>
      <c r="H270" s="43">
        <v>250000</v>
      </c>
      <c r="I270" s="61" t="s">
        <v>15</v>
      </c>
      <c r="J270" s="69"/>
    </row>
    <row r="271" spans="1:10" ht="13" thickBot="1">
      <c r="A271" s="289"/>
      <c r="B271" s="40" t="s">
        <v>169</v>
      </c>
      <c r="C271" s="80" t="s">
        <v>257</v>
      </c>
      <c r="D271" s="104"/>
      <c r="E271" s="40" t="s">
        <v>252</v>
      </c>
      <c r="F271" s="104"/>
      <c r="G271" s="78" t="s">
        <v>251</v>
      </c>
      <c r="H271" s="43">
        <v>200000</v>
      </c>
      <c r="I271" s="61" t="s">
        <v>15</v>
      </c>
      <c r="J271" s="69"/>
    </row>
    <row r="272" spans="1:10" ht="13" thickBot="1">
      <c r="A272" s="289"/>
      <c r="B272" s="40" t="s">
        <v>253</v>
      </c>
      <c r="C272" s="80" t="s">
        <v>257</v>
      </c>
      <c r="D272" s="104"/>
      <c r="E272" s="40" t="s">
        <v>12</v>
      </c>
      <c r="F272" s="78" t="s">
        <v>248</v>
      </c>
      <c r="G272" s="78" t="s">
        <v>251</v>
      </c>
      <c r="H272" s="43">
        <v>200000</v>
      </c>
      <c r="I272" s="61" t="s">
        <v>15</v>
      </c>
      <c r="J272" s="69"/>
    </row>
    <row r="273" spans="1:10" ht="13" thickBot="1">
      <c r="A273" s="289"/>
      <c r="B273" s="40" t="s">
        <v>236</v>
      </c>
      <c r="C273" s="80" t="s">
        <v>257</v>
      </c>
      <c r="D273" s="104"/>
      <c r="E273" s="40" t="s">
        <v>12</v>
      </c>
      <c r="F273" s="104" t="s">
        <v>248</v>
      </c>
      <c r="G273" s="78" t="s">
        <v>251</v>
      </c>
      <c r="H273" s="43">
        <v>150000</v>
      </c>
      <c r="I273" s="61" t="s">
        <v>15</v>
      </c>
      <c r="J273" s="69"/>
    </row>
    <row r="274" spans="1:10" ht="13" thickBot="1">
      <c r="A274" s="289"/>
      <c r="B274" s="40" t="s">
        <v>163</v>
      </c>
      <c r="C274" s="80" t="s">
        <v>257</v>
      </c>
      <c r="D274" s="104"/>
      <c r="E274" s="40" t="s">
        <v>252</v>
      </c>
      <c r="F274" s="78"/>
      <c r="G274" s="78" t="s">
        <v>251</v>
      </c>
      <c r="H274" s="43">
        <v>150000</v>
      </c>
      <c r="I274" s="61" t="s">
        <v>15</v>
      </c>
      <c r="J274" s="69"/>
    </row>
    <row r="275" spans="1:10" ht="13" thickBot="1">
      <c r="A275" s="289"/>
      <c r="B275" s="40" t="s">
        <v>268</v>
      </c>
      <c r="C275" s="80" t="s">
        <v>257</v>
      </c>
      <c r="D275" s="104"/>
      <c r="E275" s="40" t="s">
        <v>20</v>
      </c>
      <c r="F275" s="78"/>
      <c r="G275" s="78" t="s">
        <v>251</v>
      </c>
      <c r="H275" s="43">
        <v>300000</v>
      </c>
      <c r="I275" s="61" t="s">
        <v>15</v>
      </c>
      <c r="J275" s="69"/>
    </row>
    <row r="276" spans="1:10" ht="13" thickBot="1">
      <c r="A276" s="289"/>
      <c r="B276" s="40" t="s">
        <v>123</v>
      </c>
      <c r="C276" s="80" t="s">
        <v>257</v>
      </c>
      <c r="D276" s="104"/>
      <c r="E276" s="40" t="s">
        <v>252</v>
      </c>
      <c r="F276" s="78"/>
      <c r="G276" s="78" t="s">
        <v>251</v>
      </c>
      <c r="H276" s="43">
        <v>150000</v>
      </c>
      <c r="I276" s="61" t="s">
        <v>15</v>
      </c>
      <c r="J276" s="69"/>
    </row>
    <row r="277" spans="1:10">
      <c r="A277" s="289"/>
      <c r="B277" s="40" t="s">
        <v>267</v>
      </c>
      <c r="C277" s="80" t="s">
        <v>257</v>
      </c>
      <c r="D277" s="104"/>
      <c r="E277" s="40" t="s">
        <v>20</v>
      </c>
      <c r="F277" s="78"/>
      <c r="G277" s="78" t="s">
        <v>251</v>
      </c>
      <c r="H277" s="43">
        <v>300000</v>
      </c>
      <c r="I277" s="61" t="s">
        <v>15</v>
      </c>
      <c r="J277" s="69"/>
    </row>
    <row r="278" spans="1:10">
      <c r="A278" s="289"/>
      <c r="B278" s="40" t="s">
        <v>266</v>
      </c>
      <c r="C278" s="80" t="s">
        <v>257</v>
      </c>
      <c r="D278" s="104"/>
      <c r="E278" s="40" t="s">
        <v>20</v>
      </c>
      <c r="F278" s="78"/>
      <c r="G278" s="78" t="s">
        <v>251</v>
      </c>
      <c r="H278" s="43">
        <v>300000</v>
      </c>
      <c r="I278" s="78"/>
    </row>
    <row r="279" spans="1:10" ht="13" thickBot="1">
      <c r="H279" s="105">
        <f>SUM(H270:H278)</f>
        <v>2000000</v>
      </c>
    </row>
    <row r="280" spans="1:10" ht="13" thickBot="1">
      <c r="H280" s="87">
        <v>2000000</v>
      </c>
    </row>
    <row r="281" spans="1:10" ht="13" thickBot="1">
      <c r="A281" s="99">
        <v>45992</v>
      </c>
      <c r="H281" s="38"/>
    </row>
    <row r="282" spans="1:10" ht="13" thickBot="1">
      <c r="A282" s="106"/>
      <c r="B282" s="58" t="s">
        <v>260</v>
      </c>
      <c r="C282" s="58" t="s">
        <v>256</v>
      </c>
      <c r="D282" s="103" t="s">
        <v>248</v>
      </c>
      <c r="E282" s="58" t="s">
        <v>12</v>
      </c>
      <c r="F282" s="107" t="s">
        <v>23</v>
      </c>
      <c r="G282" s="78" t="s">
        <v>265</v>
      </c>
      <c r="H282" s="108">
        <v>60000</v>
      </c>
      <c r="I282" s="109" t="s">
        <v>25</v>
      </c>
      <c r="J282" s="67"/>
    </row>
    <row r="283" spans="1:10" ht="13" thickBot="1">
      <c r="A283" s="110"/>
      <c r="B283" s="111" t="s">
        <v>216</v>
      </c>
      <c r="C283" s="58" t="s">
        <v>256</v>
      </c>
      <c r="D283" s="104"/>
      <c r="E283" s="40" t="s">
        <v>17</v>
      </c>
      <c r="F283" s="112" t="s">
        <v>39</v>
      </c>
      <c r="G283" s="78" t="s">
        <v>265</v>
      </c>
      <c r="H283" s="113">
        <v>25000</v>
      </c>
      <c r="I283" s="114" t="s">
        <v>25</v>
      </c>
      <c r="J283" s="67"/>
    </row>
    <row r="284" spans="1:10" ht="13" thickBot="1">
      <c r="A284" s="110"/>
      <c r="B284" s="111" t="s">
        <v>102</v>
      </c>
      <c r="C284" s="58" t="s">
        <v>256</v>
      </c>
      <c r="D284" s="104"/>
      <c r="E284" s="40" t="s">
        <v>20</v>
      </c>
      <c r="F284" s="115"/>
      <c r="G284" s="78" t="s">
        <v>265</v>
      </c>
      <c r="H284" s="113">
        <v>150000</v>
      </c>
      <c r="I284" s="114" t="s">
        <v>25</v>
      </c>
      <c r="J284" s="67"/>
    </row>
    <row r="285" spans="1:10" ht="13" thickBot="1">
      <c r="A285" s="116" t="s">
        <v>240</v>
      </c>
      <c r="B285" s="111" t="s">
        <v>19</v>
      </c>
      <c r="C285" s="58" t="s">
        <v>256</v>
      </c>
      <c r="D285" s="104"/>
      <c r="E285" s="40" t="s">
        <v>20</v>
      </c>
      <c r="F285" s="112"/>
      <c r="G285" s="78" t="s">
        <v>265</v>
      </c>
      <c r="H285" s="113">
        <v>90000</v>
      </c>
      <c r="I285" s="114" t="s">
        <v>25</v>
      </c>
      <c r="J285" s="67"/>
    </row>
    <row r="286" spans="1:10" ht="13" thickBot="1">
      <c r="A286" s="110"/>
      <c r="B286" s="111" t="s">
        <v>214</v>
      </c>
      <c r="C286" s="58" t="s">
        <v>256</v>
      </c>
      <c r="D286" s="104" t="s">
        <v>248</v>
      </c>
      <c r="E286" s="40" t="s">
        <v>12</v>
      </c>
      <c r="F286" s="112" t="s">
        <v>37</v>
      </c>
      <c r="G286" s="78" t="s">
        <v>265</v>
      </c>
      <c r="H286" s="113">
        <v>50000</v>
      </c>
      <c r="I286" s="114" t="s">
        <v>25</v>
      </c>
      <c r="J286" s="67"/>
    </row>
    <row r="287" spans="1:10" ht="13" thickBot="1">
      <c r="A287" s="110"/>
      <c r="B287" s="111" t="s">
        <v>384</v>
      </c>
      <c r="C287" s="58" t="s">
        <v>256</v>
      </c>
      <c r="D287" s="104"/>
      <c r="E287" s="40" t="s">
        <v>20</v>
      </c>
      <c r="F287" s="112" t="s">
        <v>283</v>
      </c>
      <c r="G287" s="78" t="s">
        <v>265</v>
      </c>
      <c r="H287" s="113">
        <v>125000</v>
      </c>
      <c r="I287" s="114" t="s">
        <v>25</v>
      </c>
      <c r="J287" s="67"/>
    </row>
    <row r="288" spans="1:10" ht="13" thickBot="1">
      <c r="A288" s="110"/>
      <c r="B288" s="111"/>
      <c r="C288" s="92" t="s">
        <v>256</v>
      </c>
      <c r="D288" s="104"/>
      <c r="E288" s="40"/>
      <c r="F288" s="112"/>
      <c r="G288" s="78" t="s">
        <v>265</v>
      </c>
      <c r="H288" s="113"/>
      <c r="I288" s="114" t="s">
        <v>25</v>
      </c>
      <c r="J288" s="67"/>
    </row>
    <row r="289" spans="1:10" ht="13" thickBot="1">
      <c r="A289" s="117"/>
      <c r="B289" s="118"/>
      <c r="C289" s="170" t="s">
        <v>256</v>
      </c>
      <c r="D289" s="165"/>
      <c r="E289" s="62"/>
      <c r="F289" s="120"/>
      <c r="G289" s="78" t="s">
        <v>265</v>
      </c>
      <c r="H289" s="121"/>
      <c r="I289" s="122" t="s">
        <v>25</v>
      </c>
      <c r="J289" s="67"/>
    </row>
    <row r="290" spans="1:10" ht="13" thickBot="1">
      <c r="H290" s="123">
        <f>SUM(H282:H289)</f>
        <v>500000</v>
      </c>
    </row>
    <row r="291" spans="1:10" ht="13" thickBot="1">
      <c r="H291" s="87">
        <v>500000</v>
      </c>
    </row>
    <row r="292" spans="1:10" ht="13" thickBot="1">
      <c r="A292" s="99">
        <v>45992</v>
      </c>
      <c r="H292" s="38"/>
    </row>
    <row r="293" spans="1:10" ht="13" thickBot="1">
      <c r="A293" s="110"/>
      <c r="B293" s="40" t="s">
        <v>261</v>
      </c>
      <c r="C293" s="58" t="s">
        <v>258</v>
      </c>
      <c r="D293" s="104" t="s">
        <v>248</v>
      </c>
      <c r="E293" s="40" t="s">
        <v>12</v>
      </c>
      <c r="F293" s="104" t="s">
        <v>18</v>
      </c>
      <c r="G293" s="79" t="s">
        <v>259</v>
      </c>
      <c r="H293" s="124">
        <v>250000</v>
      </c>
      <c r="I293" s="109" t="s">
        <v>15</v>
      </c>
      <c r="J293" s="67"/>
    </row>
    <row r="294" spans="1:10" ht="13" thickBot="1">
      <c r="A294" s="110"/>
      <c r="B294" s="40" t="s">
        <v>262</v>
      </c>
      <c r="C294" s="58" t="s">
        <v>258</v>
      </c>
      <c r="D294" s="104" t="s">
        <v>248</v>
      </c>
      <c r="E294" s="40" t="s">
        <v>12</v>
      </c>
      <c r="F294" s="78" t="s">
        <v>37</v>
      </c>
      <c r="G294" s="79" t="s">
        <v>259</v>
      </c>
      <c r="H294" s="124">
        <v>150000</v>
      </c>
      <c r="I294" s="109" t="s">
        <v>15</v>
      </c>
      <c r="J294" s="67"/>
    </row>
    <row r="295" spans="1:10" ht="13" thickBot="1">
      <c r="A295" s="116" t="s">
        <v>273</v>
      </c>
      <c r="B295" s="51" t="s">
        <v>263</v>
      </c>
      <c r="C295" s="58" t="s">
        <v>258</v>
      </c>
      <c r="D295" s="104" t="s">
        <v>248</v>
      </c>
      <c r="E295" s="40" t="s">
        <v>12</v>
      </c>
      <c r="F295" s="104" t="s">
        <v>44</v>
      </c>
      <c r="G295" s="79" t="s">
        <v>259</v>
      </c>
      <c r="H295" s="124">
        <v>160000</v>
      </c>
      <c r="I295" s="109" t="s">
        <v>15</v>
      </c>
      <c r="J295" s="67"/>
    </row>
    <row r="296" spans="1:10" ht="13" thickBot="1">
      <c r="A296" s="110"/>
      <c r="B296" s="51" t="s">
        <v>264</v>
      </c>
      <c r="C296" s="58" t="s">
        <v>258</v>
      </c>
      <c r="D296" s="104" t="s">
        <v>248</v>
      </c>
      <c r="E296" s="40" t="s">
        <v>12</v>
      </c>
      <c r="F296" s="78" t="s">
        <v>37</v>
      </c>
      <c r="G296" s="79" t="s">
        <v>259</v>
      </c>
      <c r="H296" s="124">
        <v>150000</v>
      </c>
      <c r="I296" s="109" t="s">
        <v>15</v>
      </c>
      <c r="J296" s="67"/>
    </row>
    <row r="297" spans="1:10" ht="13" thickBot="1">
      <c r="A297" s="110"/>
      <c r="B297" s="51" t="s">
        <v>269</v>
      </c>
      <c r="C297" s="58" t="s">
        <v>258</v>
      </c>
      <c r="D297" s="104" t="s">
        <v>248</v>
      </c>
      <c r="E297" s="40" t="s">
        <v>12</v>
      </c>
      <c r="F297" s="78" t="s">
        <v>39</v>
      </c>
      <c r="G297" s="79" t="s">
        <v>259</v>
      </c>
      <c r="H297" s="124">
        <v>300000</v>
      </c>
      <c r="I297" s="109" t="s">
        <v>15</v>
      </c>
      <c r="J297" s="67"/>
    </row>
    <row r="298" spans="1:10" ht="13" thickBot="1">
      <c r="A298" s="110"/>
      <c r="B298" s="51" t="s">
        <v>271</v>
      </c>
      <c r="C298" s="58" t="s">
        <v>258</v>
      </c>
      <c r="D298" s="104" t="s">
        <v>248</v>
      </c>
      <c r="E298" s="40" t="s">
        <v>12</v>
      </c>
      <c r="F298" s="78" t="s">
        <v>44</v>
      </c>
      <c r="G298" s="79" t="s">
        <v>259</v>
      </c>
      <c r="H298" s="124">
        <v>140000</v>
      </c>
      <c r="I298" s="109" t="s">
        <v>15</v>
      </c>
      <c r="J298" s="67"/>
    </row>
    <row r="299" spans="1:10" ht="13" thickBot="1">
      <c r="A299" s="110"/>
      <c r="B299" s="51" t="s">
        <v>270</v>
      </c>
      <c r="C299" s="58" t="s">
        <v>258</v>
      </c>
      <c r="D299" s="104"/>
      <c r="E299" s="40" t="s">
        <v>20</v>
      </c>
      <c r="F299" s="78"/>
      <c r="G299" s="79" t="s">
        <v>259</v>
      </c>
      <c r="H299" s="124">
        <v>350000</v>
      </c>
      <c r="I299" s="109" t="s">
        <v>15</v>
      </c>
      <c r="J299" s="67"/>
    </row>
    <row r="300" spans="1:10" ht="13" thickBot="1">
      <c r="A300" s="117"/>
      <c r="B300" s="119" t="s">
        <v>71</v>
      </c>
      <c r="C300" s="58" t="s">
        <v>258</v>
      </c>
      <c r="D300" s="163" t="s">
        <v>248</v>
      </c>
      <c r="E300" s="62" t="s">
        <v>12</v>
      </c>
      <c r="F300" s="82" t="s">
        <v>37</v>
      </c>
      <c r="G300" s="79" t="s">
        <v>259</v>
      </c>
      <c r="H300" s="125">
        <v>100000</v>
      </c>
      <c r="I300" s="109" t="s">
        <v>15</v>
      </c>
      <c r="J300" s="67"/>
    </row>
    <row r="301" spans="1:10">
      <c r="H301" s="126">
        <f>SUM(H293:H300)</f>
        <v>1600000</v>
      </c>
    </row>
    <row r="302" spans="1:10">
      <c r="H302" s="83">
        <v>1600000</v>
      </c>
    </row>
    <row r="303" spans="1:10" ht="13" thickBot="1">
      <c r="A303" s="99">
        <v>46007</v>
      </c>
      <c r="H303" s="38"/>
    </row>
    <row r="304" spans="1:10" ht="13" thickBot="1">
      <c r="A304" s="106"/>
      <c r="B304" s="58" t="s">
        <v>68</v>
      </c>
      <c r="C304" s="40" t="s">
        <v>274</v>
      </c>
      <c r="D304" s="103"/>
      <c r="E304" s="58" t="s">
        <v>20</v>
      </c>
      <c r="F304" s="107" t="s">
        <v>23</v>
      </c>
      <c r="G304" s="78" t="s">
        <v>275</v>
      </c>
      <c r="H304" s="108">
        <v>250000</v>
      </c>
      <c r="I304" s="109" t="s">
        <v>53</v>
      </c>
      <c r="J304" s="67"/>
    </row>
    <row r="305" spans="1:10" ht="13" thickBot="1">
      <c r="A305" s="116" t="s">
        <v>276</v>
      </c>
      <c r="B305" s="127" t="s">
        <v>64</v>
      </c>
      <c r="C305" s="40" t="s">
        <v>274</v>
      </c>
      <c r="D305" s="104" t="s">
        <v>248</v>
      </c>
      <c r="E305" s="40" t="s">
        <v>12</v>
      </c>
      <c r="F305" s="112" t="s">
        <v>44</v>
      </c>
      <c r="G305" s="78" t="s">
        <v>275</v>
      </c>
      <c r="H305" s="128">
        <v>40000</v>
      </c>
      <c r="I305" s="109" t="s">
        <v>53</v>
      </c>
      <c r="J305" s="67"/>
    </row>
    <row r="306" spans="1:10">
      <c r="A306" s="110"/>
      <c r="B306" s="111"/>
      <c r="C306" s="40" t="s">
        <v>274</v>
      </c>
      <c r="D306" s="104"/>
      <c r="E306" s="40"/>
      <c r="F306" s="115"/>
      <c r="G306" s="78" t="s">
        <v>275</v>
      </c>
      <c r="H306" s="113"/>
      <c r="I306" s="109" t="s">
        <v>53</v>
      </c>
      <c r="J306" s="67"/>
    </row>
    <row r="307" spans="1:10">
      <c r="A307" s="129"/>
      <c r="B307" s="111"/>
      <c r="C307" s="40" t="s">
        <v>274</v>
      </c>
      <c r="D307" s="104"/>
      <c r="E307" s="40"/>
      <c r="F307" s="112"/>
      <c r="G307" s="78"/>
      <c r="H307" s="113"/>
      <c r="I307" s="114"/>
      <c r="J307" s="67"/>
    </row>
    <row r="308" spans="1:10" ht="13" thickBot="1">
      <c r="H308" s="123">
        <f>SUM(H304:H307)</f>
        <v>290000</v>
      </c>
    </row>
    <row r="309" spans="1:10" ht="13" thickBot="1">
      <c r="H309" s="87">
        <v>290000</v>
      </c>
    </row>
    <row r="310" spans="1:10" ht="13" thickBot="1">
      <c r="A310" s="99">
        <v>46007</v>
      </c>
      <c r="H310" s="38"/>
    </row>
    <row r="311" spans="1:10" ht="13" thickBot="1">
      <c r="A311" s="106"/>
      <c r="B311" s="58" t="s">
        <v>165</v>
      </c>
      <c r="C311" s="40" t="s">
        <v>279</v>
      </c>
      <c r="D311" s="103" t="s">
        <v>285</v>
      </c>
      <c r="E311" s="58" t="s">
        <v>20</v>
      </c>
      <c r="F311" s="130" t="s">
        <v>283</v>
      </c>
      <c r="G311" s="78" t="s">
        <v>281</v>
      </c>
      <c r="H311" s="108">
        <v>150000</v>
      </c>
      <c r="I311" s="109" t="s">
        <v>25</v>
      </c>
      <c r="J311" s="67"/>
    </row>
    <row r="312" spans="1:10" ht="13" thickBot="1">
      <c r="A312" s="110"/>
      <c r="B312" s="111"/>
      <c r="C312" s="40" t="s">
        <v>279</v>
      </c>
      <c r="D312" s="104"/>
      <c r="E312" s="40"/>
      <c r="F312" s="112"/>
      <c r="G312" s="78" t="s">
        <v>281</v>
      </c>
      <c r="H312" s="113"/>
      <c r="I312" s="109" t="s">
        <v>25</v>
      </c>
      <c r="J312" s="67"/>
    </row>
    <row r="313" spans="1:10" ht="13" thickBot="1">
      <c r="A313" s="93" t="s">
        <v>277</v>
      </c>
      <c r="B313" s="111" t="s">
        <v>272</v>
      </c>
      <c r="C313" s="40" t="s">
        <v>279</v>
      </c>
      <c r="D313" s="104"/>
      <c r="E313" s="40" t="s">
        <v>17</v>
      </c>
      <c r="F313" s="115" t="s">
        <v>37</v>
      </c>
      <c r="G313" s="78" t="s">
        <v>281</v>
      </c>
      <c r="H313" s="113">
        <v>50000</v>
      </c>
      <c r="I313" s="109" t="s">
        <v>25</v>
      </c>
      <c r="J313" s="67"/>
    </row>
    <row r="314" spans="1:10">
      <c r="A314" s="116"/>
      <c r="B314" s="111" t="s">
        <v>116</v>
      </c>
      <c r="C314" s="80" t="s">
        <v>279</v>
      </c>
      <c r="D314" s="104" t="s">
        <v>248</v>
      </c>
      <c r="E314" s="40" t="s">
        <v>12</v>
      </c>
      <c r="F314" s="112" t="s">
        <v>37</v>
      </c>
      <c r="G314" s="78" t="s">
        <v>281</v>
      </c>
      <c r="H314" s="128">
        <v>56000</v>
      </c>
      <c r="I314" s="109" t="s">
        <v>25</v>
      </c>
      <c r="J314" s="67"/>
    </row>
    <row r="315" spans="1:10">
      <c r="A315" s="131"/>
      <c r="B315" s="111" t="s">
        <v>85</v>
      </c>
      <c r="C315" s="40" t="s">
        <v>279</v>
      </c>
      <c r="D315" s="104" t="s">
        <v>290</v>
      </c>
      <c r="E315" s="40" t="s">
        <v>20</v>
      </c>
      <c r="F315" s="112" t="s">
        <v>44</v>
      </c>
      <c r="G315" s="78" t="s">
        <v>281</v>
      </c>
      <c r="H315" s="113">
        <v>50000</v>
      </c>
      <c r="I315" s="114"/>
      <c r="J315" s="67"/>
    </row>
    <row r="316" spans="1:10" ht="13" thickBot="1">
      <c r="H316" s="132">
        <f>SUM(H311:H315)</f>
        <v>306000</v>
      </c>
    </row>
    <row r="317" spans="1:10" ht="13" thickBot="1">
      <c r="H317" s="87">
        <v>356000</v>
      </c>
    </row>
    <row r="318" spans="1:10" ht="13" thickBot="1">
      <c r="A318" s="99">
        <v>46007</v>
      </c>
      <c r="H318" s="38"/>
    </row>
    <row r="319" spans="1:10" ht="13" thickBot="1">
      <c r="A319" s="106"/>
      <c r="B319" s="58" t="s">
        <v>237</v>
      </c>
      <c r="C319" s="40" t="s">
        <v>280</v>
      </c>
      <c r="D319" s="103"/>
      <c r="E319" s="58" t="s">
        <v>111</v>
      </c>
      <c r="F319" s="107" t="s">
        <v>44</v>
      </c>
      <c r="G319" s="78" t="s">
        <v>282</v>
      </c>
      <c r="H319" s="133">
        <v>250000</v>
      </c>
      <c r="I319" s="109" t="s">
        <v>15</v>
      </c>
      <c r="J319" s="67"/>
    </row>
    <row r="320" spans="1:10" ht="13" thickBot="1">
      <c r="A320" s="116" t="s">
        <v>278</v>
      </c>
      <c r="B320" s="111" t="s">
        <v>19</v>
      </c>
      <c r="C320" s="40" t="s">
        <v>280</v>
      </c>
      <c r="D320" s="104"/>
      <c r="E320" s="40" t="s">
        <v>20</v>
      </c>
      <c r="F320" s="112" t="s">
        <v>37</v>
      </c>
      <c r="G320" s="78" t="s">
        <v>282</v>
      </c>
      <c r="H320" s="134">
        <v>500000</v>
      </c>
      <c r="I320" s="109" t="s">
        <v>15</v>
      </c>
      <c r="J320" s="67"/>
    </row>
    <row r="321" spans="1:13" ht="13" thickBot="1">
      <c r="A321" s="110"/>
      <c r="B321" s="111" t="s">
        <v>74</v>
      </c>
      <c r="C321" s="40" t="s">
        <v>280</v>
      </c>
      <c r="D321" s="104"/>
      <c r="E321" s="40" t="s">
        <v>17</v>
      </c>
      <c r="F321" s="112" t="s">
        <v>44</v>
      </c>
      <c r="G321" s="78" t="s">
        <v>282</v>
      </c>
      <c r="H321" s="134">
        <v>150000</v>
      </c>
      <c r="I321" s="109" t="s">
        <v>15</v>
      </c>
      <c r="J321" s="67"/>
    </row>
    <row r="322" spans="1:13" ht="13" thickBot="1">
      <c r="A322" s="110"/>
      <c r="B322" s="111" t="s">
        <v>269</v>
      </c>
      <c r="C322" s="40" t="s">
        <v>280</v>
      </c>
      <c r="D322" s="104" t="s">
        <v>248</v>
      </c>
      <c r="E322" s="40" t="s">
        <v>12</v>
      </c>
      <c r="F322" s="112" t="s">
        <v>39</v>
      </c>
      <c r="G322" s="78" t="s">
        <v>282</v>
      </c>
      <c r="H322" s="128">
        <v>300000</v>
      </c>
      <c r="I322" s="109" t="s">
        <v>15</v>
      </c>
      <c r="J322" s="67"/>
    </row>
    <row r="323" spans="1:13" ht="13" thickBot="1">
      <c r="A323" s="110"/>
      <c r="B323" s="111" t="s">
        <v>236</v>
      </c>
      <c r="C323" s="40" t="s">
        <v>280</v>
      </c>
      <c r="D323" s="104" t="s">
        <v>248</v>
      </c>
      <c r="E323" s="40" t="s">
        <v>12</v>
      </c>
      <c r="F323" s="112" t="s">
        <v>39</v>
      </c>
      <c r="G323" s="78" t="s">
        <v>282</v>
      </c>
      <c r="H323" s="135">
        <v>100000</v>
      </c>
      <c r="I323" s="109" t="s">
        <v>15</v>
      </c>
      <c r="J323" s="67"/>
    </row>
    <row r="324" spans="1:13" ht="13" thickBot="1">
      <c r="A324" s="110"/>
      <c r="B324" s="111" t="s">
        <v>97</v>
      </c>
      <c r="C324" s="40" t="s">
        <v>280</v>
      </c>
      <c r="D324" s="104" t="s">
        <v>248</v>
      </c>
      <c r="E324" s="40" t="s">
        <v>12</v>
      </c>
      <c r="F324" s="112" t="s">
        <v>44</v>
      </c>
      <c r="G324" s="78" t="s">
        <v>282</v>
      </c>
      <c r="H324" s="135">
        <v>300000</v>
      </c>
      <c r="I324" s="109" t="s">
        <v>15</v>
      </c>
      <c r="J324" s="67"/>
    </row>
    <row r="325" spans="1:13">
      <c r="A325" s="110"/>
      <c r="B325" s="136" t="s">
        <v>287</v>
      </c>
      <c r="C325" s="80" t="s">
        <v>280</v>
      </c>
      <c r="D325" s="104" t="s">
        <v>248</v>
      </c>
      <c r="E325" s="80" t="s">
        <v>111</v>
      </c>
      <c r="F325" s="137" t="s">
        <v>18</v>
      </c>
      <c r="G325" s="81" t="s">
        <v>282</v>
      </c>
      <c r="H325" s="138">
        <v>250000</v>
      </c>
      <c r="I325" s="139" t="s">
        <v>15</v>
      </c>
      <c r="J325" s="67"/>
    </row>
    <row r="326" spans="1:13">
      <c r="A326" s="140"/>
      <c r="B326" s="40" t="s">
        <v>291</v>
      </c>
      <c r="C326" s="40" t="s">
        <v>280</v>
      </c>
      <c r="D326" s="104" t="s">
        <v>248</v>
      </c>
      <c r="E326" s="40" t="s">
        <v>12</v>
      </c>
      <c r="F326" s="78" t="s">
        <v>37</v>
      </c>
      <c r="G326" s="78" t="s">
        <v>282</v>
      </c>
      <c r="H326" s="43">
        <v>150000</v>
      </c>
      <c r="I326" s="40" t="s">
        <v>15</v>
      </c>
      <c r="J326" s="67"/>
    </row>
    <row r="327" spans="1:13" ht="13" thickBot="1">
      <c r="H327" s="123">
        <f>SUM(H319:H326)</f>
        <v>2000000</v>
      </c>
    </row>
    <row r="328" spans="1:13">
      <c r="H328" s="141">
        <v>2000000</v>
      </c>
    </row>
    <row r="329" spans="1:13">
      <c r="A329" s="38"/>
      <c r="B329" s="38"/>
      <c r="E329" s="38"/>
      <c r="H329" s="38"/>
    </row>
    <row r="330" spans="1:13" ht="13" thickBot="1">
      <c r="A330" s="99">
        <v>46013</v>
      </c>
      <c r="H330" s="38"/>
    </row>
    <row r="331" spans="1:13">
      <c r="A331" s="142" t="s">
        <v>289</v>
      </c>
      <c r="B331" s="51" t="s">
        <v>19</v>
      </c>
      <c r="C331" s="40" t="s">
        <v>280</v>
      </c>
      <c r="D331" s="104" t="s">
        <v>286</v>
      </c>
      <c r="E331" s="40" t="s">
        <v>20</v>
      </c>
      <c r="F331" s="112" t="s">
        <v>18</v>
      </c>
      <c r="G331" s="78" t="s">
        <v>288</v>
      </c>
      <c r="H331" s="113">
        <v>500000</v>
      </c>
      <c r="I331" s="109" t="s">
        <v>15</v>
      </c>
      <c r="J331" s="67"/>
      <c r="K331" s="216">
        <v>46013</v>
      </c>
      <c r="L331" s="216"/>
      <c r="M331" s="40" t="s">
        <v>176</v>
      </c>
    </row>
    <row r="332" spans="1:13">
      <c r="H332" s="143">
        <v>500000</v>
      </c>
    </row>
    <row r="333" spans="1:13">
      <c r="A333" s="99">
        <v>46015</v>
      </c>
    </row>
    <row r="334" spans="1:13">
      <c r="A334" s="140"/>
      <c r="B334" s="40" t="s">
        <v>165</v>
      </c>
      <c r="C334" s="40" t="s">
        <v>293</v>
      </c>
      <c r="D334" s="104"/>
      <c r="E334" s="40" t="s">
        <v>20</v>
      </c>
      <c r="F334" s="104" t="s">
        <v>283</v>
      </c>
      <c r="G334" s="78" t="s">
        <v>379</v>
      </c>
      <c r="H334" s="43">
        <v>120000</v>
      </c>
      <c r="I334" s="40" t="s">
        <v>25</v>
      </c>
      <c r="J334" s="67"/>
      <c r="K334" s="216">
        <v>46015</v>
      </c>
      <c r="L334" s="216"/>
      <c r="M334" s="222" t="s">
        <v>380</v>
      </c>
    </row>
    <row r="335" spans="1:13">
      <c r="A335" s="83" t="s">
        <v>277</v>
      </c>
      <c r="B335" s="40" t="s">
        <v>436</v>
      </c>
      <c r="C335" s="40" t="s">
        <v>293</v>
      </c>
      <c r="D335" s="104"/>
      <c r="E335" s="40"/>
      <c r="F335" s="78"/>
      <c r="G335" s="78" t="s">
        <v>292</v>
      </c>
      <c r="H335" s="43">
        <v>130000</v>
      </c>
      <c r="I335" s="40" t="s">
        <v>25</v>
      </c>
      <c r="J335" s="67"/>
      <c r="K335" s="217"/>
      <c r="L335" s="217"/>
    </row>
    <row r="336" spans="1:13">
      <c r="A336" s="83"/>
      <c r="B336" s="40"/>
      <c r="C336" s="40" t="s">
        <v>293</v>
      </c>
      <c r="D336" s="104"/>
      <c r="E336" s="40"/>
      <c r="F336" s="104"/>
      <c r="G336" s="78" t="s">
        <v>292</v>
      </c>
      <c r="H336" s="43"/>
      <c r="I336" s="40" t="s">
        <v>25</v>
      </c>
      <c r="J336" s="67"/>
      <c r="K336" s="217"/>
      <c r="L336" s="217"/>
    </row>
    <row r="337" spans="1:13">
      <c r="H337" s="144">
        <f>SUM(H334:H336)</f>
        <v>250000</v>
      </c>
    </row>
    <row r="338" spans="1:13">
      <c r="H338" s="83">
        <v>250000</v>
      </c>
    </row>
    <row r="339" spans="1:13" ht="13" thickBot="1">
      <c r="A339" s="99">
        <v>46028</v>
      </c>
      <c r="H339" s="91"/>
    </row>
    <row r="340" spans="1:13" ht="13" thickBot="1">
      <c r="A340" s="145"/>
      <c r="B340" s="59" t="s">
        <v>71</v>
      </c>
      <c r="C340" s="40" t="s">
        <v>297</v>
      </c>
      <c r="D340" s="166" t="s">
        <v>248</v>
      </c>
      <c r="E340" s="58" t="s">
        <v>301</v>
      </c>
      <c r="F340" s="78" t="s">
        <v>37</v>
      </c>
      <c r="G340" s="78" t="s">
        <v>296</v>
      </c>
      <c r="H340" s="146">
        <v>100000</v>
      </c>
      <c r="I340" s="147" t="s">
        <v>15</v>
      </c>
      <c r="J340" s="67"/>
      <c r="K340" s="216">
        <v>46028</v>
      </c>
      <c r="L340" s="216"/>
      <c r="M340" s="40" t="s">
        <v>176</v>
      </c>
    </row>
    <row r="341" spans="1:13" ht="13" thickBot="1">
      <c r="A341" s="116"/>
      <c r="B341" s="41" t="s">
        <v>119</v>
      </c>
      <c r="C341" s="40" t="s">
        <v>297</v>
      </c>
      <c r="D341" s="166" t="s">
        <v>248</v>
      </c>
      <c r="E341" s="40" t="s">
        <v>302</v>
      </c>
      <c r="F341" s="78" t="s">
        <v>37</v>
      </c>
      <c r="G341" s="78" t="s">
        <v>296</v>
      </c>
      <c r="H341" s="146">
        <v>200000</v>
      </c>
      <c r="I341" s="147" t="s">
        <v>15</v>
      </c>
      <c r="J341" s="67"/>
      <c r="K341" s="216">
        <v>46028</v>
      </c>
      <c r="L341" s="216"/>
      <c r="M341" s="40" t="s">
        <v>176</v>
      </c>
    </row>
    <row r="342" spans="1:13" ht="13" thickBot="1">
      <c r="A342" s="116"/>
      <c r="B342" s="148" t="s">
        <v>284</v>
      </c>
      <c r="C342" s="40" t="s">
        <v>297</v>
      </c>
      <c r="D342" s="166" t="s">
        <v>248</v>
      </c>
      <c r="E342" s="40" t="s">
        <v>302</v>
      </c>
      <c r="F342" s="78" t="s">
        <v>44</v>
      </c>
      <c r="G342" s="78" t="s">
        <v>296</v>
      </c>
      <c r="H342" s="146">
        <v>250000</v>
      </c>
      <c r="I342" s="147" t="s">
        <v>15</v>
      </c>
      <c r="J342" s="67"/>
      <c r="K342" s="216">
        <v>46028</v>
      </c>
      <c r="L342" s="216"/>
      <c r="M342" s="40" t="s">
        <v>176</v>
      </c>
    </row>
    <row r="343" spans="1:13" ht="13" thickBot="1">
      <c r="A343" s="116"/>
      <c r="B343" s="148" t="s">
        <v>19</v>
      </c>
      <c r="C343" s="40" t="s">
        <v>297</v>
      </c>
      <c r="D343" s="166" t="s">
        <v>248</v>
      </c>
      <c r="E343" s="40" t="s">
        <v>303</v>
      </c>
      <c r="F343" s="78" t="s">
        <v>18</v>
      </c>
      <c r="G343" s="78" t="s">
        <v>296</v>
      </c>
      <c r="H343" s="146">
        <v>750000</v>
      </c>
      <c r="I343" s="147" t="s">
        <v>15</v>
      </c>
      <c r="J343" s="67"/>
      <c r="K343" s="216">
        <v>46028</v>
      </c>
      <c r="L343" s="216"/>
      <c r="M343" s="40" t="s">
        <v>176</v>
      </c>
    </row>
    <row r="344" spans="1:13" ht="13" thickBot="1">
      <c r="A344" s="116" t="s">
        <v>294</v>
      </c>
      <c r="B344" s="148" t="s">
        <v>300</v>
      </c>
      <c r="C344" s="40" t="s">
        <v>297</v>
      </c>
      <c r="D344" s="104" t="s">
        <v>248</v>
      </c>
      <c r="E344" s="40" t="s">
        <v>302</v>
      </c>
      <c r="F344" s="78" t="s">
        <v>37</v>
      </c>
      <c r="G344" s="78" t="s">
        <v>296</v>
      </c>
      <c r="H344" s="146">
        <v>250000</v>
      </c>
      <c r="I344" s="147" t="s">
        <v>15</v>
      </c>
      <c r="J344" s="67"/>
      <c r="K344" s="216">
        <v>46028</v>
      </c>
      <c r="L344" s="216"/>
      <c r="M344" s="40" t="s">
        <v>176</v>
      </c>
    </row>
    <row r="345" spans="1:13" ht="13" thickBot="1">
      <c r="A345" s="116"/>
      <c r="B345" s="148" t="s">
        <v>189</v>
      </c>
      <c r="C345" s="40" t="s">
        <v>297</v>
      </c>
      <c r="D345" s="166" t="s">
        <v>248</v>
      </c>
      <c r="E345" s="40" t="s">
        <v>302</v>
      </c>
      <c r="F345" s="78" t="s">
        <v>18</v>
      </c>
      <c r="G345" s="78" t="s">
        <v>296</v>
      </c>
      <c r="H345" s="279">
        <v>500000</v>
      </c>
      <c r="I345" s="147" t="s">
        <v>15</v>
      </c>
      <c r="J345" s="67"/>
      <c r="K345" s="216">
        <v>46028</v>
      </c>
      <c r="L345" s="216"/>
      <c r="M345" s="40" t="s">
        <v>176</v>
      </c>
    </row>
    <row r="346" spans="1:13" ht="13" thickBot="1">
      <c r="A346" s="116"/>
      <c r="B346" s="148" t="s">
        <v>309</v>
      </c>
      <c r="C346" s="40" t="s">
        <v>297</v>
      </c>
      <c r="D346" s="166" t="s">
        <v>248</v>
      </c>
      <c r="E346" s="40" t="s">
        <v>301</v>
      </c>
      <c r="F346" s="78" t="s">
        <v>39</v>
      </c>
      <c r="G346" s="78" t="s">
        <v>296</v>
      </c>
      <c r="H346" s="279">
        <v>250000</v>
      </c>
      <c r="I346" s="147" t="s">
        <v>15</v>
      </c>
      <c r="J346" s="67"/>
      <c r="K346" s="216">
        <v>46028</v>
      </c>
      <c r="L346" s="216"/>
      <c r="M346" s="40" t="s">
        <v>176</v>
      </c>
    </row>
    <row r="347" spans="1:13" ht="13" thickBot="1">
      <c r="A347" s="116"/>
      <c r="B347" s="148" t="s">
        <v>306</v>
      </c>
      <c r="C347" s="40" t="s">
        <v>297</v>
      </c>
      <c r="D347" s="166" t="s">
        <v>248</v>
      </c>
      <c r="E347" s="40" t="s">
        <v>303</v>
      </c>
      <c r="F347" s="78" t="s">
        <v>18</v>
      </c>
      <c r="G347" s="78" t="s">
        <v>296</v>
      </c>
      <c r="H347" s="279">
        <v>250000</v>
      </c>
      <c r="I347" s="147" t="s">
        <v>15</v>
      </c>
      <c r="J347" s="67"/>
      <c r="K347" s="216">
        <v>46028</v>
      </c>
      <c r="L347" s="216"/>
      <c r="M347" s="40" t="s">
        <v>176</v>
      </c>
    </row>
    <row r="348" spans="1:13" ht="13" thickBot="1">
      <c r="A348" s="149"/>
      <c r="B348" s="148" t="s">
        <v>305</v>
      </c>
      <c r="C348" s="40" t="s">
        <v>297</v>
      </c>
      <c r="D348" s="166" t="s">
        <v>248</v>
      </c>
      <c r="E348" s="40" t="s">
        <v>303</v>
      </c>
      <c r="F348" s="78" t="s">
        <v>44</v>
      </c>
      <c r="G348" s="78" t="s">
        <v>296</v>
      </c>
      <c r="H348" s="146">
        <v>200000</v>
      </c>
      <c r="I348" s="150" t="s">
        <v>15</v>
      </c>
      <c r="J348" s="67"/>
      <c r="K348" s="216">
        <v>46028</v>
      </c>
      <c r="L348" s="216"/>
      <c r="M348" s="40" t="s">
        <v>176</v>
      </c>
    </row>
    <row r="349" spans="1:13">
      <c r="A349" s="149"/>
      <c r="B349" s="273" t="s">
        <v>435</v>
      </c>
      <c r="C349" s="274" t="s">
        <v>297</v>
      </c>
      <c r="D349" s="275" t="s">
        <v>248</v>
      </c>
      <c r="E349" s="274" t="s">
        <v>302</v>
      </c>
      <c r="F349" s="276" t="s">
        <v>37</v>
      </c>
      <c r="G349" s="276" t="s">
        <v>296</v>
      </c>
      <c r="H349" s="277">
        <v>200000</v>
      </c>
      <c r="I349" s="278" t="s">
        <v>15</v>
      </c>
      <c r="J349" s="67"/>
      <c r="K349" s="216">
        <v>46028</v>
      </c>
      <c r="L349" s="216"/>
      <c r="M349" s="40" t="s">
        <v>176</v>
      </c>
    </row>
    <row r="350" spans="1:13">
      <c r="A350" s="151"/>
      <c r="B350" s="41" t="s">
        <v>163</v>
      </c>
      <c r="C350" s="40" t="s">
        <v>297</v>
      </c>
      <c r="D350" s="166" t="s">
        <v>248</v>
      </c>
      <c r="E350" s="40" t="s">
        <v>303</v>
      </c>
      <c r="F350" s="78" t="s">
        <v>37</v>
      </c>
      <c r="G350" s="78" t="s">
        <v>296</v>
      </c>
      <c r="H350" s="279">
        <v>150000</v>
      </c>
      <c r="I350" s="51" t="s">
        <v>15</v>
      </c>
      <c r="J350" s="67"/>
      <c r="K350" s="216">
        <v>46028</v>
      </c>
      <c r="L350" s="216"/>
      <c r="M350" s="40" t="s">
        <v>176</v>
      </c>
    </row>
    <row r="351" spans="1:13" ht="13" thickBot="1">
      <c r="H351" s="123">
        <f>SUM(H340:H350)</f>
        <v>3100000</v>
      </c>
    </row>
    <row r="352" spans="1:13" ht="13" thickBot="1">
      <c r="H352" s="87">
        <v>3100000</v>
      </c>
    </row>
    <row r="354" spans="1:13">
      <c r="A354" s="99">
        <v>46028</v>
      </c>
    </row>
    <row r="355" spans="1:13">
      <c r="A355" s="83" t="s">
        <v>295</v>
      </c>
      <c r="B355" s="40" t="s">
        <v>50</v>
      </c>
      <c r="C355" s="40" t="s">
        <v>299</v>
      </c>
      <c r="D355" s="166" t="s">
        <v>248</v>
      </c>
      <c r="E355" s="40" t="s">
        <v>302</v>
      </c>
      <c r="F355" s="104" t="s">
        <v>304</v>
      </c>
      <c r="G355" s="78" t="s">
        <v>298</v>
      </c>
      <c r="H355" s="43">
        <v>200000</v>
      </c>
      <c r="I355" s="40" t="s">
        <v>53</v>
      </c>
      <c r="J355" s="67"/>
      <c r="K355" s="224">
        <v>46028</v>
      </c>
      <c r="L355" s="224"/>
      <c r="M355" s="40" t="s">
        <v>131</v>
      </c>
    </row>
    <row r="356" spans="1:13">
      <c r="H356" s="123">
        <f>SUM(H355:H355)</f>
        <v>200000</v>
      </c>
    </row>
    <row r="357" spans="1:13">
      <c r="H357" s="83">
        <v>200000</v>
      </c>
    </row>
    <row r="358" spans="1:13">
      <c r="A358" s="99">
        <v>46031</v>
      </c>
    </row>
    <row r="359" spans="1:13">
      <c r="A359" s="284" t="s">
        <v>277</v>
      </c>
      <c r="B359" s="40" t="s">
        <v>210</v>
      </c>
      <c r="C359" s="40" t="s">
        <v>314</v>
      </c>
      <c r="D359" s="169" t="s">
        <v>248</v>
      </c>
      <c r="E359" s="40" t="s">
        <v>301</v>
      </c>
      <c r="F359" s="78" t="s">
        <v>18</v>
      </c>
      <c r="G359" s="40" t="s">
        <v>350</v>
      </c>
      <c r="H359" s="146">
        <v>50000</v>
      </c>
      <c r="I359" s="40" t="s">
        <v>25</v>
      </c>
      <c r="J359" s="67"/>
      <c r="K359" s="216">
        <v>46031</v>
      </c>
      <c r="L359" s="216"/>
      <c r="M359" s="40" t="s">
        <v>213</v>
      </c>
    </row>
    <row r="360" spans="1:13">
      <c r="A360" s="285"/>
      <c r="B360" s="40" t="s">
        <v>234</v>
      </c>
      <c r="C360" s="40" t="s">
        <v>314</v>
      </c>
      <c r="D360" s="168" t="s">
        <v>248</v>
      </c>
      <c r="E360" s="40" t="s">
        <v>303</v>
      </c>
      <c r="F360" s="78" t="s">
        <v>37</v>
      </c>
      <c r="G360" s="40" t="s">
        <v>350</v>
      </c>
      <c r="H360" s="146">
        <v>50000</v>
      </c>
      <c r="I360" s="40" t="s">
        <v>25</v>
      </c>
      <c r="J360" s="67"/>
      <c r="K360" s="216">
        <v>46031</v>
      </c>
      <c r="L360" s="216"/>
      <c r="M360" s="40" t="s">
        <v>213</v>
      </c>
    </row>
    <row r="361" spans="1:13">
      <c r="A361" s="285"/>
      <c r="B361" s="40" t="s">
        <v>77</v>
      </c>
      <c r="C361" s="40" t="s">
        <v>314</v>
      </c>
      <c r="D361" s="168" t="s">
        <v>248</v>
      </c>
      <c r="E361" s="40" t="s">
        <v>302</v>
      </c>
      <c r="F361" s="78" t="s">
        <v>78</v>
      </c>
      <c r="G361" s="40" t="s">
        <v>350</v>
      </c>
      <c r="H361" s="146">
        <v>100000</v>
      </c>
      <c r="I361" s="40" t="s">
        <v>25</v>
      </c>
      <c r="J361" s="55"/>
      <c r="K361" s="216">
        <v>46031</v>
      </c>
      <c r="L361" s="216"/>
      <c r="M361" s="40" t="s">
        <v>213</v>
      </c>
    </row>
    <row r="362" spans="1:13">
      <c r="A362" s="286"/>
      <c r="B362" s="156" t="s">
        <v>352</v>
      </c>
      <c r="C362" s="40" t="s">
        <v>314</v>
      </c>
      <c r="D362" s="166" t="s">
        <v>248</v>
      </c>
      <c r="E362" s="40" t="s">
        <v>318</v>
      </c>
      <c r="F362" s="78" t="s">
        <v>37</v>
      </c>
      <c r="G362" s="40" t="s">
        <v>350</v>
      </c>
      <c r="H362" s="146">
        <v>50000</v>
      </c>
      <c r="I362" s="40" t="s">
        <v>25</v>
      </c>
      <c r="J362" s="67"/>
      <c r="K362" s="216">
        <v>46031</v>
      </c>
      <c r="L362" s="216"/>
      <c r="M362" s="40" t="s">
        <v>213</v>
      </c>
    </row>
    <row r="363" spans="1:13" ht="13" thickBot="1">
      <c r="H363" s="123">
        <f>SUM(H359:H362)</f>
        <v>250000</v>
      </c>
    </row>
    <row r="364" spans="1:13" ht="13" thickBot="1">
      <c r="H364" s="87">
        <v>250000</v>
      </c>
    </row>
    <row r="367" spans="1:13" ht="13" thickBot="1">
      <c r="A367" s="99">
        <v>46035</v>
      </c>
    </row>
    <row r="368" spans="1:13" ht="13">
      <c r="A368" s="145"/>
      <c r="B368" s="178" t="s">
        <v>269</v>
      </c>
      <c r="C368" s="179" t="s">
        <v>310</v>
      </c>
      <c r="D368" s="175" t="s">
        <v>248</v>
      </c>
      <c r="E368" s="180" t="s">
        <v>301</v>
      </c>
      <c r="F368" s="181" t="s">
        <v>39</v>
      </c>
      <c r="G368" s="181" t="s">
        <v>311</v>
      </c>
      <c r="H368" s="182">
        <v>250000</v>
      </c>
      <c r="I368" s="229" t="s">
        <v>15</v>
      </c>
      <c r="J368" s="232">
        <v>46035</v>
      </c>
      <c r="K368" s="40" t="s">
        <v>149</v>
      </c>
      <c r="L368" s="67"/>
    </row>
    <row r="369" spans="1:14" ht="13">
      <c r="A369" s="176"/>
      <c r="B369" s="46" t="s">
        <v>97</v>
      </c>
      <c r="C369" s="46" t="s">
        <v>310</v>
      </c>
      <c r="D369" s="175" t="s">
        <v>248</v>
      </c>
      <c r="E369" s="46" t="s">
        <v>301</v>
      </c>
      <c r="F369" s="183" t="s">
        <v>44</v>
      </c>
      <c r="G369" s="183" t="s">
        <v>311</v>
      </c>
      <c r="H369" s="184">
        <v>180000</v>
      </c>
      <c r="I369" s="230" t="s">
        <v>15</v>
      </c>
      <c r="J369" s="232">
        <v>46035</v>
      </c>
      <c r="K369" s="40" t="s">
        <v>149</v>
      </c>
      <c r="L369" s="67"/>
    </row>
    <row r="370" spans="1:14" ht="13">
      <c r="A370" s="176"/>
      <c r="B370" s="46" t="s">
        <v>315</v>
      </c>
      <c r="C370" s="46" t="s">
        <v>310</v>
      </c>
      <c r="D370" s="175" t="s">
        <v>248</v>
      </c>
      <c r="E370" s="46" t="s">
        <v>301</v>
      </c>
      <c r="F370" s="183" t="s">
        <v>37</v>
      </c>
      <c r="G370" s="183" t="s">
        <v>311</v>
      </c>
      <c r="H370" s="184">
        <v>400000</v>
      </c>
      <c r="I370" s="230" t="s">
        <v>15</v>
      </c>
      <c r="J370" s="232">
        <v>46035</v>
      </c>
      <c r="K370" s="40" t="s">
        <v>149</v>
      </c>
      <c r="L370" s="67"/>
    </row>
    <row r="371" spans="1:14" ht="13">
      <c r="A371" s="176"/>
      <c r="B371" s="46" t="s">
        <v>305</v>
      </c>
      <c r="C371" s="46" t="s">
        <v>310</v>
      </c>
      <c r="D371" s="175" t="s">
        <v>248</v>
      </c>
      <c r="E371" s="46" t="s">
        <v>303</v>
      </c>
      <c r="F371" s="183" t="s">
        <v>44</v>
      </c>
      <c r="G371" s="183" t="s">
        <v>311</v>
      </c>
      <c r="H371" s="184">
        <v>200000</v>
      </c>
      <c r="I371" s="230" t="s">
        <v>15</v>
      </c>
      <c r="J371" s="232">
        <v>46035</v>
      </c>
      <c r="K371" s="40" t="s">
        <v>149</v>
      </c>
      <c r="L371" s="51"/>
      <c r="M371" s="51"/>
      <c r="N371" s="152" t="s">
        <v>349</v>
      </c>
    </row>
    <row r="372" spans="1:14" ht="13">
      <c r="A372" s="176" t="s">
        <v>294</v>
      </c>
      <c r="B372" s="46" t="s">
        <v>316</v>
      </c>
      <c r="C372" s="46" t="s">
        <v>310</v>
      </c>
      <c r="D372" s="175" t="s">
        <v>248</v>
      </c>
      <c r="E372" s="46" t="s">
        <v>301</v>
      </c>
      <c r="F372" s="183" t="s">
        <v>37</v>
      </c>
      <c r="G372" s="183" t="s">
        <v>311</v>
      </c>
      <c r="H372" s="184">
        <v>200000</v>
      </c>
      <c r="I372" s="230" t="s">
        <v>15</v>
      </c>
      <c r="J372" s="232">
        <v>46035</v>
      </c>
      <c r="K372" s="40" t="s">
        <v>149</v>
      </c>
      <c r="L372" s="51"/>
      <c r="M372" s="51" t="str">
        <f>F368</f>
        <v>מזרחי</v>
      </c>
      <c r="N372" s="39">
        <f>SUMIF(F368:F379,"מזרחי",H368:H379)</f>
        <v>250000</v>
      </c>
    </row>
    <row r="373" spans="1:14" ht="13">
      <c r="A373" s="176"/>
      <c r="B373" s="46" t="s">
        <v>79</v>
      </c>
      <c r="C373" s="46" t="s">
        <v>310</v>
      </c>
      <c r="D373" s="175" t="s">
        <v>248</v>
      </c>
      <c r="E373" s="46" t="s">
        <v>301</v>
      </c>
      <c r="F373" s="183" t="s">
        <v>37</v>
      </c>
      <c r="G373" s="183" t="s">
        <v>311</v>
      </c>
      <c r="H373" s="184">
        <v>100000</v>
      </c>
      <c r="I373" s="230" t="s">
        <v>15</v>
      </c>
      <c r="J373" s="232">
        <v>46035</v>
      </c>
      <c r="K373" s="40" t="s">
        <v>149</v>
      </c>
      <c r="L373" s="51"/>
      <c r="M373" s="51" t="str">
        <f>F369</f>
        <v>לאומי</v>
      </c>
      <c r="N373" s="39">
        <f>SUMIF(F368:F379,"לאומי",H368:H379)</f>
        <v>680000</v>
      </c>
    </row>
    <row r="374" spans="1:14" ht="13">
      <c r="A374" s="176"/>
      <c r="B374" s="46" t="s">
        <v>319</v>
      </c>
      <c r="C374" s="46" t="s">
        <v>310</v>
      </c>
      <c r="D374" s="175" t="s">
        <v>248</v>
      </c>
      <c r="E374" s="46" t="s">
        <v>318</v>
      </c>
      <c r="F374" s="183" t="s">
        <v>37</v>
      </c>
      <c r="G374" s="183" t="s">
        <v>311</v>
      </c>
      <c r="H374" s="184">
        <v>100000</v>
      </c>
      <c r="I374" s="230" t="s">
        <v>15</v>
      </c>
      <c r="J374" s="232">
        <v>46035</v>
      </c>
      <c r="K374" s="40" t="s">
        <v>149</v>
      </c>
      <c r="L374" s="51"/>
      <c r="M374" s="51" t="str">
        <f>F370</f>
        <v>פועלים</v>
      </c>
      <c r="N374" s="39">
        <f>SUMIF(F368:F379,"פועלים",H368:H379)</f>
        <v>1150000</v>
      </c>
    </row>
    <row r="375" spans="1:14" ht="13">
      <c r="A375" s="176"/>
      <c r="B375" s="46" t="s">
        <v>58</v>
      </c>
      <c r="C375" s="46" t="s">
        <v>310</v>
      </c>
      <c r="D375" s="175" t="s">
        <v>248</v>
      </c>
      <c r="E375" s="46" t="s">
        <v>301</v>
      </c>
      <c r="F375" s="183" t="s">
        <v>18</v>
      </c>
      <c r="G375" s="183" t="s">
        <v>311</v>
      </c>
      <c r="H375" s="184">
        <v>200000</v>
      </c>
      <c r="I375" s="230" t="s">
        <v>15</v>
      </c>
      <c r="J375" s="232">
        <v>46035</v>
      </c>
      <c r="K375" s="40" t="s">
        <v>149</v>
      </c>
      <c r="L375" s="51"/>
      <c r="M375" s="51" t="str">
        <f>F375</f>
        <v>דיסקונט</v>
      </c>
      <c r="N375" s="39">
        <f>SUMIF(F368:F379,"דיסקונט",H368:H379)</f>
        <v>950000</v>
      </c>
    </row>
    <row r="376" spans="1:14" ht="13">
      <c r="A376" s="176"/>
      <c r="B376" s="46" t="s">
        <v>352</v>
      </c>
      <c r="C376" s="46" t="s">
        <v>310</v>
      </c>
      <c r="D376" s="175" t="s">
        <v>248</v>
      </c>
      <c r="E376" s="46" t="s">
        <v>318</v>
      </c>
      <c r="F376" s="183" t="s">
        <v>37</v>
      </c>
      <c r="G376" s="183" t="s">
        <v>311</v>
      </c>
      <c r="H376" s="184">
        <v>100000</v>
      </c>
      <c r="I376" s="230" t="s">
        <v>15</v>
      </c>
      <c r="J376" s="232">
        <v>46035</v>
      </c>
      <c r="K376" s="40" t="s">
        <v>149</v>
      </c>
      <c r="L376" s="67"/>
      <c r="N376" s="39"/>
    </row>
    <row r="377" spans="1:14" ht="13">
      <c r="A377" s="176"/>
      <c r="B377" s="46" t="s">
        <v>19</v>
      </c>
      <c r="C377" s="46" t="s">
        <v>310</v>
      </c>
      <c r="D377" s="175" t="s">
        <v>248</v>
      </c>
      <c r="E377" s="46" t="s">
        <v>302</v>
      </c>
      <c r="F377" s="183" t="s">
        <v>18</v>
      </c>
      <c r="G377" s="183" t="s">
        <v>311</v>
      </c>
      <c r="H377" s="184">
        <v>750000</v>
      </c>
      <c r="I377" s="230" t="s">
        <v>15</v>
      </c>
      <c r="J377" s="232">
        <v>46035</v>
      </c>
      <c r="K377" s="40" t="s">
        <v>149</v>
      </c>
      <c r="L377" s="67"/>
      <c r="N377" s="153">
        <f>SUM(N372:N375)</f>
        <v>3030000</v>
      </c>
    </row>
    <row r="378" spans="1:14" ht="13">
      <c r="A378" s="176"/>
      <c r="B378" s="46" t="s">
        <v>300</v>
      </c>
      <c r="C378" s="46" t="s">
        <v>310</v>
      </c>
      <c r="D378" s="175" t="s">
        <v>248</v>
      </c>
      <c r="E378" s="46" t="s">
        <v>302</v>
      </c>
      <c r="F378" s="183" t="s">
        <v>37</v>
      </c>
      <c r="G378" s="183" t="s">
        <v>311</v>
      </c>
      <c r="H378" s="184">
        <v>250000</v>
      </c>
      <c r="I378" s="230" t="s">
        <v>15</v>
      </c>
      <c r="J378" s="232">
        <v>46035</v>
      </c>
      <c r="K378" s="40" t="s">
        <v>149</v>
      </c>
      <c r="L378" s="67"/>
    </row>
    <row r="379" spans="1:14" ht="13">
      <c r="A379" s="176"/>
      <c r="B379" s="46" t="s">
        <v>354</v>
      </c>
      <c r="C379" s="46" t="s">
        <v>310</v>
      </c>
      <c r="D379" s="175" t="s">
        <v>248</v>
      </c>
      <c r="E379" s="46" t="s">
        <v>301</v>
      </c>
      <c r="F379" s="183" t="s">
        <v>44</v>
      </c>
      <c r="G379" s="183" t="s">
        <v>311</v>
      </c>
      <c r="H379" s="184">
        <v>300000</v>
      </c>
      <c r="I379" s="230" t="s">
        <v>15</v>
      </c>
      <c r="J379" s="232">
        <v>46035</v>
      </c>
      <c r="K379" s="40" t="s">
        <v>149</v>
      </c>
      <c r="L379" s="67"/>
    </row>
    <row r="380" spans="1:14" ht="13">
      <c r="A380" s="176"/>
      <c r="B380" s="46" t="s">
        <v>100</v>
      </c>
      <c r="C380" s="46"/>
      <c r="D380" s="167" t="s">
        <v>248</v>
      </c>
      <c r="E380" s="46" t="s">
        <v>100</v>
      </c>
      <c r="F380" s="183" t="s">
        <v>37</v>
      </c>
      <c r="G380" s="183" t="s">
        <v>311</v>
      </c>
      <c r="H380" s="184">
        <v>200000</v>
      </c>
      <c r="I380" s="230" t="s">
        <v>15</v>
      </c>
      <c r="J380" s="232">
        <v>46035</v>
      </c>
      <c r="K380" s="40" t="s">
        <v>149</v>
      </c>
      <c r="L380" s="67"/>
    </row>
    <row r="381" spans="1:14" ht="13" thickBot="1">
      <c r="H381" s="123">
        <f>SUM(H368:H380)</f>
        <v>3230000</v>
      </c>
    </row>
    <row r="382" spans="1:14" ht="13" thickBot="1">
      <c r="H382" s="87">
        <v>3030000</v>
      </c>
    </row>
    <row r="383" spans="1:14">
      <c r="A383" s="99">
        <v>46035</v>
      </c>
      <c r="M383" s="40"/>
      <c r="N383" s="152" t="s">
        <v>349</v>
      </c>
    </row>
    <row r="384" spans="1:14" ht="13">
      <c r="A384" s="149"/>
      <c r="B384" s="40" t="s">
        <v>355</v>
      </c>
      <c r="C384" s="51" t="s">
        <v>308</v>
      </c>
      <c r="D384" s="167" t="s">
        <v>248</v>
      </c>
      <c r="E384" s="40" t="s">
        <v>303</v>
      </c>
      <c r="F384" s="78" t="s">
        <v>44</v>
      </c>
      <c r="G384" s="78" t="s">
        <v>312</v>
      </c>
      <c r="H384" s="146">
        <v>25000</v>
      </c>
      <c r="I384" s="40" t="s">
        <v>25</v>
      </c>
      <c r="J384" s="225">
        <v>46035</v>
      </c>
      <c r="K384" s="40" t="s">
        <v>131</v>
      </c>
      <c r="L384" s="40"/>
      <c r="M384" s="40" t="str">
        <f>F384</f>
        <v>לאומי</v>
      </c>
      <c r="N384" s="39">
        <f>SUMIF(F384:F387,"לאומי",H384:H387)</f>
        <v>25000</v>
      </c>
    </row>
    <row r="385" spans="1:14" ht="13">
      <c r="A385" s="154" t="s">
        <v>277</v>
      </c>
      <c r="B385" s="148" t="s">
        <v>169</v>
      </c>
      <c r="C385" s="51" t="s">
        <v>308</v>
      </c>
      <c r="D385" s="167" t="s">
        <v>248</v>
      </c>
      <c r="E385" s="40" t="s">
        <v>303</v>
      </c>
      <c r="F385" s="78" t="s">
        <v>37</v>
      </c>
      <c r="G385" s="78" t="s">
        <v>312</v>
      </c>
      <c r="H385" s="146">
        <v>25000</v>
      </c>
      <c r="I385" s="40" t="s">
        <v>25</v>
      </c>
      <c r="J385" s="225">
        <v>46035</v>
      </c>
      <c r="K385" s="40" t="s">
        <v>131</v>
      </c>
      <c r="L385" s="40"/>
      <c r="M385" s="40" t="str">
        <f>F385</f>
        <v>פועלים</v>
      </c>
      <c r="N385" s="39">
        <f>SUMIF(F384:F387,"פועלים",H384:H387)</f>
        <v>25000</v>
      </c>
    </row>
    <row r="386" spans="1:14" ht="13">
      <c r="A386" s="149"/>
      <c r="B386" s="40" t="s">
        <v>351</v>
      </c>
      <c r="C386" s="51" t="s">
        <v>308</v>
      </c>
      <c r="D386" s="167" t="s">
        <v>248</v>
      </c>
      <c r="E386" s="40" t="s">
        <v>302</v>
      </c>
      <c r="F386" s="78" t="s">
        <v>114</v>
      </c>
      <c r="G386" s="78" t="s">
        <v>312</v>
      </c>
      <c r="H386" s="146">
        <v>150000</v>
      </c>
      <c r="I386" s="40" t="s">
        <v>25</v>
      </c>
      <c r="J386" s="225">
        <v>46035</v>
      </c>
      <c r="K386" s="40" t="s">
        <v>131</v>
      </c>
      <c r="L386" s="40"/>
      <c r="M386" s="40" t="str">
        <f>F387</f>
        <v>דיסקונט</v>
      </c>
      <c r="N386" s="39">
        <f>SUMIF(F384:F387,F387,H384:H387)</f>
        <v>50000</v>
      </c>
    </row>
    <row r="387" spans="1:14" ht="13">
      <c r="A387" s="155"/>
      <c r="B387" s="40" t="s">
        <v>365</v>
      </c>
      <c r="C387" s="51" t="s">
        <v>308</v>
      </c>
      <c r="D387" s="167" t="s">
        <v>248</v>
      </c>
      <c r="E387" s="40" t="s">
        <v>302</v>
      </c>
      <c r="F387" s="78" t="s">
        <v>18</v>
      </c>
      <c r="G387" s="78" t="s">
        <v>312</v>
      </c>
      <c r="H387" s="146">
        <v>50000</v>
      </c>
      <c r="I387" s="40" t="s">
        <v>25</v>
      </c>
      <c r="J387" s="225">
        <v>46035</v>
      </c>
      <c r="K387" s="40" t="s">
        <v>131</v>
      </c>
      <c r="L387" s="40"/>
      <c r="M387" s="40" t="str">
        <f>F386</f>
        <v>הבינלאומי</v>
      </c>
      <c r="N387" s="39">
        <f>SUMIF(F384:F387,F386,H384:H387)</f>
        <v>150000</v>
      </c>
    </row>
    <row r="388" spans="1:14" ht="13" thickBot="1">
      <c r="H388" s="123">
        <f>SUM(H384:H387)</f>
        <v>250000</v>
      </c>
      <c r="N388" s="185">
        <f>SUM(N384:N387)</f>
        <v>250000</v>
      </c>
    </row>
    <row r="389" spans="1:14" ht="13" thickBot="1">
      <c r="H389" s="87">
        <v>250000</v>
      </c>
    </row>
    <row r="390" spans="1:14">
      <c r="A390" s="186">
        <v>46035</v>
      </c>
    </row>
    <row r="391" spans="1:14">
      <c r="A391" s="176" t="s">
        <v>295</v>
      </c>
      <c r="B391" s="51" t="s">
        <v>50</v>
      </c>
      <c r="C391" s="40" t="s">
        <v>313</v>
      </c>
      <c r="D391" s="168" t="s">
        <v>248</v>
      </c>
      <c r="E391" s="40" t="s">
        <v>302</v>
      </c>
      <c r="F391" s="78" t="s">
        <v>304</v>
      </c>
      <c r="G391" s="78" t="s">
        <v>356</v>
      </c>
      <c r="H391" s="146">
        <v>200000</v>
      </c>
      <c r="I391" s="41" t="s">
        <v>53</v>
      </c>
      <c r="J391" s="225">
        <v>46035</v>
      </c>
      <c r="K391" s="78" t="s">
        <v>131</v>
      </c>
      <c r="L391" s="243"/>
      <c r="M391" s="51"/>
      <c r="N391" s="152" t="s">
        <v>349</v>
      </c>
    </row>
    <row r="392" spans="1:14" ht="13">
      <c r="A392" s="176"/>
      <c r="B392" s="51"/>
      <c r="C392" s="40"/>
      <c r="D392" s="168"/>
      <c r="E392" s="40"/>
      <c r="F392" s="78"/>
      <c r="G392" s="6"/>
      <c r="H392" s="146"/>
      <c r="I392" s="41" t="s">
        <v>53</v>
      </c>
      <c r="J392" s="225">
        <v>46035</v>
      </c>
      <c r="K392" s="78"/>
      <c r="L392" s="243"/>
      <c r="M392" s="51" t="str">
        <f>F391</f>
        <v>Safra</v>
      </c>
      <c r="N392" s="39">
        <f>SUMIF(F391:F392,"Safra",H391:H392)</f>
        <v>200000</v>
      </c>
    </row>
    <row r="393" spans="1:14" ht="13" thickBot="1">
      <c r="H393" s="123">
        <f>SUM(H391:H392)</f>
        <v>200000</v>
      </c>
      <c r="N393" s="153">
        <f>SUM(N392:N392)</f>
        <v>200000</v>
      </c>
    </row>
    <row r="394" spans="1:14" ht="13" thickBot="1">
      <c r="H394" s="87">
        <v>200000</v>
      </c>
    </row>
    <row r="397" spans="1:14">
      <c r="A397" s="186">
        <v>46051</v>
      </c>
      <c r="B397" s="194" t="s">
        <v>372</v>
      </c>
      <c r="K397" s="67"/>
      <c r="L397" s="67"/>
    </row>
    <row r="398" spans="1:14" ht="14">
      <c r="A398" s="187"/>
      <c r="B398" s="11" t="s">
        <v>260</v>
      </c>
      <c r="C398" s="11" t="s">
        <v>366</v>
      </c>
      <c r="D398" s="167" t="s">
        <v>248</v>
      </c>
      <c r="E398" s="11" t="s">
        <v>301</v>
      </c>
      <c r="F398" s="12" t="s">
        <v>37</v>
      </c>
      <c r="G398" s="7" t="s">
        <v>367</v>
      </c>
      <c r="H398" s="13">
        <v>250000</v>
      </c>
      <c r="I398" s="231" t="s">
        <v>15</v>
      </c>
      <c r="J398" s="225">
        <v>46051</v>
      </c>
      <c r="K398" s="40" t="s">
        <v>372</v>
      </c>
      <c r="L398" s="67"/>
    </row>
    <row r="399" spans="1:14" ht="14">
      <c r="A399" s="188"/>
      <c r="B399" s="11" t="s">
        <v>315</v>
      </c>
      <c r="C399" s="11" t="s">
        <v>366</v>
      </c>
      <c r="D399" s="167" t="s">
        <v>248</v>
      </c>
      <c r="E399" s="11" t="s">
        <v>301</v>
      </c>
      <c r="F399" s="12" t="s">
        <v>37</v>
      </c>
      <c r="G399" s="7" t="s">
        <v>367</v>
      </c>
      <c r="H399" s="13">
        <v>300000</v>
      </c>
      <c r="I399" s="231" t="s">
        <v>15</v>
      </c>
      <c r="J399" s="225">
        <v>46051</v>
      </c>
      <c r="K399" s="40" t="s">
        <v>372</v>
      </c>
      <c r="L399" s="67"/>
    </row>
    <row r="400" spans="1:14" ht="14">
      <c r="A400" s="188"/>
      <c r="B400" s="11" t="s">
        <v>368</v>
      </c>
      <c r="C400" s="11" t="s">
        <v>366</v>
      </c>
      <c r="D400" s="167" t="s">
        <v>248</v>
      </c>
      <c r="E400" s="11" t="s">
        <v>301</v>
      </c>
      <c r="F400" t="s">
        <v>114</v>
      </c>
      <c r="G400" s="7" t="s">
        <v>367</v>
      </c>
      <c r="H400" s="13">
        <v>180000</v>
      </c>
      <c r="I400" s="231" t="s">
        <v>15</v>
      </c>
      <c r="J400" s="225">
        <v>46051</v>
      </c>
      <c r="K400" s="40" t="s">
        <v>372</v>
      </c>
      <c r="L400" s="51"/>
      <c r="M400" s="51"/>
      <c r="N400" s="152" t="s">
        <v>349</v>
      </c>
    </row>
    <row r="401" spans="1:14" ht="14">
      <c r="A401" s="188"/>
      <c r="B401" s="11" t="s">
        <v>373</v>
      </c>
      <c r="C401" s="11" t="s">
        <v>366</v>
      </c>
      <c r="D401" s="167" t="s">
        <v>248</v>
      </c>
      <c r="E401" s="11" t="s">
        <v>301</v>
      </c>
      <c r="F401" s="12" t="s">
        <v>44</v>
      </c>
      <c r="G401" s="7" t="s">
        <v>367</v>
      </c>
      <c r="H401" s="13">
        <v>250000</v>
      </c>
      <c r="I401" s="231" t="s">
        <v>15</v>
      </c>
      <c r="J401" s="225">
        <v>46051</v>
      </c>
      <c r="K401" s="40" t="s">
        <v>372</v>
      </c>
      <c r="L401" s="51"/>
      <c r="M401" s="51" t="str">
        <f>F401</f>
        <v>לאומי</v>
      </c>
      <c r="N401" s="39">
        <f>SUMIF(F398:F410,"לאומי",H398:H410)</f>
        <v>800000</v>
      </c>
    </row>
    <row r="402" spans="1:14" ht="14">
      <c r="A402" s="188"/>
      <c r="B402" s="11" t="s">
        <v>287</v>
      </c>
      <c r="C402" s="11" t="s">
        <v>366</v>
      </c>
      <c r="D402" s="167" t="s">
        <v>248</v>
      </c>
      <c r="E402" s="11" t="s">
        <v>371</v>
      </c>
      <c r="F402" s="12" t="s">
        <v>18</v>
      </c>
      <c r="G402" s="7" t="s">
        <v>367</v>
      </c>
      <c r="H402" s="13">
        <v>250000</v>
      </c>
      <c r="I402" s="231" t="s">
        <v>15</v>
      </c>
      <c r="J402" s="225">
        <v>46051</v>
      </c>
      <c r="K402" s="40" t="s">
        <v>372</v>
      </c>
      <c r="L402" s="51"/>
      <c r="M402" s="51" t="str">
        <f>F398</f>
        <v>פועלים</v>
      </c>
      <c r="N402" s="39">
        <f>SUMIF(F398:F410,"פועלים",H398:H410)</f>
        <v>1020000</v>
      </c>
    </row>
    <row r="403" spans="1:14" ht="14">
      <c r="A403" s="190" t="s">
        <v>294</v>
      </c>
      <c r="B403" s="11" t="s">
        <v>306</v>
      </c>
      <c r="C403" s="11" t="s">
        <v>366</v>
      </c>
      <c r="D403" s="167" t="s">
        <v>248</v>
      </c>
      <c r="E403" s="11" t="s">
        <v>303</v>
      </c>
      <c r="F403" s="12" t="s">
        <v>18</v>
      </c>
      <c r="G403" s="7" t="s">
        <v>367</v>
      </c>
      <c r="H403" s="13">
        <v>250000</v>
      </c>
      <c r="I403" s="231" t="s">
        <v>15</v>
      </c>
      <c r="J403" s="225">
        <v>46051</v>
      </c>
      <c r="K403" s="40" t="s">
        <v>372</v>
      </c>
      <c r="L403" s="51"/>
      <c r="M403" s="51" t="str">
        <f>F400</f>
        <v>הבינלאומי</v>
      </c>
      <c r="N403" s="39">
        <f>SUMIF(F398:F410,"הבינלאומי",H398:H410)</f>
        <v>180000</v>
      </c>
    </row>
    <row r="404" spans="1:14" ht="14">
      <c r="A404" s="188"/>
      <c r="B404" s="11" t="s">
        <v>375</v>
      </c>
      <c r="C404" s="11" t="s">
        <v>366</v>
      </c>
      <c r="D404" s="167" t="s">
        <v>248</v>
      </c>
      <c r="E404" s="11" t="s">
        <v>318</v>
      </c>
      <c r="F404" s="12" t="s">
        <v>37</v>
      </c>
      <c r="G404" s="7" t="s">
        <v>367</v>
      </c>
      <c r="H404" s="13">
        <v>100000</v>
      </c>
      <c r="I404" s="231" t="s">
        <v>15</v>
      </c>
      <c r="J404" s="225">
        <v>46051</v>
      </c>
      <c r="K404" s="40" t="s">
        <v>372</v>
      </c>
      <c r="L404" s="51"/>
      <c r="M404" s="51" t="str">
        <f>F402</f>
        <v>דיסקונט</v>
      </c>
      <c r="N404" s="39">
        <f>SUMIF(F398:F410,"דיסקונט",H398:H410)</f>
        <v>1000000</v>
      </c>
    </row>
    <row r="405" spans="1:14" ht="14">
      <c r="A405" s="188"/>
      <c r="B405" s="11" t="s">
        <v>45</v>
      </c>
      <c r="C405" s="11" t="s">
        <v>366</v>
      </c>
      <c r="D405" s="167" t="s">
        <v>248</v>
      </c>
      <c r="E405" s="11" t="s">
        <v>302</v>
      </c>
      <c r="F405" s="12" t="s">
        <v>18</v>
      </c>
      <c r="G405" s="7" t="s">
        <v>367</v>
      </c>
      <c r="H405" s="13">
        <v>500000</v>
      </c>
      <c r="I405" s="231" t="s">
        <v>15</v>
      </c>
      <c r="J405" s="225">
        <v>46051</v>
      </c>
      <c r="K405" s="40" t="s">
        <v>372</v>
      </c>
      <c r="L405" s="67"/>
      <c r="N405" s="195">
        <f>SUM(N401:N404)</f>
        <v>3000000</v>
      </c>
    </row>
    <row r="406" spans="1:14" ht="14">
      <c r="A406" s="188"/>
      <c r="B406" s="11" t="s">
        <v>300</v>
      </c>
      <c r="C406" s="11" t="s">
        <v>366</v>
      </c>
      <c r="D406" s="167" t="s">
        <v>248</v>
      </c>
      <c r="E406" s="11" t="s">
        <v>302</v>
      </c>
      <c r="F406" s="12" t="s">
        <v>37</v>
      </c>
      <c r="G406" s="227" t="s">
        <v>367</v>
      </c>
      <c r="H406" s="228">
        <v>370000</v>
      </c>
      <c r="I406" s="231" t="s">
        <v>15</v>
      </c>
      <c r="J406" s="225">
        <v>46051</v>
      </c>
      <c r="K406" s="40" t="s">
        <v>372</v>
      </c>
      <c r="L406" s="67"/>
    </row>
    <row r="407" spans="1:14" ht="14">
      <c r="A407" s="188"/>
      <c r="B407" s="11" t="s">
        <v>97</v>
      </c>
      <c r="C407" s="11" t="s">
        <v>366</v>
      </c>
      <c r="D407" s="167" t="s">
        <v>248</v>
      </c>
      <c r="E407" s="11" t="s">
        <v>301</v>
      </c>
      <c r="F407" s="12" t="s">
        <v>44</v>
      </c>
      <c r="G407" s="7" t="s">
        <v>367</v>
      </c>
      <c r="H407" s="13">
        <v>250000</v>
      </c>
      <c r="I407" s="231" t="s">
        <v>15</v>
      </c>
      <c r="J407" s="225">
        <v>46051</v>
      </c>
      <c r="K407" s="40" t="s">
        <v>372</v>
      </c>
      <c r="L407" s="67"/>
    </row>
    <row r="408" spans="1:14" ht="14">
      <c r="A408" s="188"/>
      <c r="B408" s="11" t="s">
        <v>85</v>
      </c>
      <c r="C408" s="11" t="s">
        <v>366</v>
      </c>
      <c r="D408" s="167" t="s">
        <v>248</v>
      </c>
      <c r="E408" s="11" t="s">
        <v>302</v>
      </c>
      <c r="F408" s="12" t="s">
        <v>44</v>
      </c>
      <c r="G408" s="7" t="s">
        <v>367</v>
      </c>
      <c r="H408" s="13">
        <v>300000</v>
      </c>
      <c r="I408" s="231" t="s">
        <v>15</v>
      </c>
      <c r="J408" s="225">
        <v>46051</v>
      </c>
      <c r="K408" s="40" t="s">
        <v>372</v>
      </c>
      <c r="L408" s="67"/>
    </row>
    <row r="409" spans="1:14" ht="14">
      <c r="A409" s="188"/>
      <c r="B409" s="11"/>
      <c r="C409" s="11" t="s">
        <v>366</v>
      </c>
      <c r="D409" s="167"/>
      <c r="E409" s="11"/>
      <c r="F409" s="12"/>
      <c r="G409" s="7" t="s">
        <v>367</v>
      </c>
      <c r="H409" s="13"/>
      <c r="I409" s="231" t="s">
        <v>15</v>
      </c>
      <c r="J409" s="225">
        <v>46051</v>
      </c>
      <c r="K409" s="40" t="s">
        <v>372</v>
      </c>
      <c r="L409" s="67"/>
    </row>
    <row r="410" spans="1:14" ht="14">
      <c r="A410" s="189"/>
      <c r="B410" s="11"/>
      <c r="C410" s="11" t="s">
        <v>366</v>
      </c>
      <c r="D410" s="167"/>
      <c r="E410" s="11"/>
      <c r="F410" s="12"/>
      <c r="G410" s="7" t="s">
        <v>367</v>
      </c>
      <c r="H410" s="13"/>
      <c r="I410" s="231" t="s">
        <v>15</v>
      </c>
      <c r="J410" s="225">
        <v>46051</v>
      </c>
      <c r="K410" s="40" t="s">
        <v>372</v>
      </c>
      <c r="L410" s="67"/>
    </row>
    <row r="411" spans="1:14" ht="14.5" thickBot="1">
      <c r="H411" s="191">
        <f>SUM(H398:H410)</f>
        <v>3000000</v>
      </c>
    </row>
    <row r="412" spans="1:14" ht="14.5" thickBot="1">
      <c r="H412" s="192">
        <v>3000000</v>
      </c>
      <c r="M412" s="223" t="s">
        <v>378</v>
      </c>
      <c r="N412" s="205">
        <f>H412-N405</f>
        <v>0</v>
      </c>
    </row>
    <row r="413" spans="1:14" ht="14">
      <c r="A413" s="186">
        <v>46052</v>
      </c>
      <c r="B413" s="194" t="s">
        <v>94</v>
      </c>
      <c r="H413" s="193"/>
    </row>
    <row r="414" spans="1:14" ht="14">
      <c r="A414" s="149"/>
      <c r="B414" s="11" t="s">
        <v>103</v>
      </c>
      <c r="C414" s="11" t="s">
        <v>369</v>
      </c>
      <c r="D414" s="167" t="s">
        <v>248</v>
      </c>
      <c r="E414" s="11" t="s">
        <v>301</v>
      </c>
      <c r="F414" s="12" t="s">
        <v>44</v>
      </c>
      <c r="G414" s="7" t="s">
        <v>370</v>
      </c>
      <c r="H414" s="13">
        <v>100000</v>
      </c>
      <c r="I414" s="231" t="s">
        <v>25</v>
      </c>
      <c r="J414" s="225">
        <v>46052</v>
      </c>
      <c r="K414" s="40" t="s">
        <v>94</v>
      </c>
    </row>
    <row r="415" spans="1:14" ht="14">
      <c r="A415" s="154" t="s">
        <v>277</v>
      </c>
      <c r="B415" s="11" t="s">
        <v>377</v>
      </c>
      <c r="C415" s="11" t="s">
        <v>369</v>
      </c>
      <c r="D415" s="167" t="s">
        <v>248</v>
      </c>
      <c r="E415" s="11" t="s">
        <v>302</v>
      </c>
      <c r="F415" s="12" t="s">
        <v>18</v>
      </c>
      <c r="G415" s="227" t="s">
        <v>370</v>
      </c>
      <c r="H415" s="228">
        <v>180000</v>
      </c>
      <c r="I415" s="231" t="s">
        <v>25</v>
      </c>
      <c r="J415" s="225">
        <v>46052</v>
      </c>
      <c r="K415" s="40" t="s">
        <v>94</v>
      </c>
    </row>
    <row r="416" spans="1:14" ht="14">
      <c r="A416" s="149"/>
      <c r="B416" s="11" t="s">
        <v>21</v>
      </c>
      <c r="C416" s="11" t="s">
        <v>369</v>
      </c>
      <c r="D416" s="167" t="s">
        <v>248</v>
      </c>
      <c r="E416" s="11" t="s">
        <v>302</v>
      </c>
      <c r="F416" s="12" t="s">
        <v>304</v>
      </c>
      <c r="G416" s="7" t="s">
        <v>370</v>
      </c>
      <c r="H416" s="13">
        <v>150000</v>
      </c>
      <c r="I416" s="231" t="s">
        <v>25</v>
      </c>
      <c r="J416" s="225">
        <v>46052</v>
      </c>
      <c r="K416" s="40" t="s">
        <v>94</v>
      </c>
    </row>
    <row r="417" spans="1:11" ht="14">
      <c r="A417" s="151"/>
      <c r="B417" s="234" t="s">
        <v>165</v>
      </c>
      <c r="C417" s="234" t="s">
        <v>369</v>
      </c>
      <c r="D417" s="235" t="s">
        <v>374</v>
      </c>
      <c r="E417" s="234" t="s">
        <v>302</v>
      </c>
      <c r="F417" s="236" t="s">
        <v>283</v>
      </c>
      <c r="G417" s="236" t="s">
        <v>370</v>
      </c>
      <c r="H417" s="238" t="s">
        <v>393</v>
      </c>
      <c r="I417" s="237" t="s">
        <v>25</v>
      </c>
      <c r="J417" s="225">
        <v>46052</v>
      </c>
      <c r="K417" s="40" t="s">
        <v>94</v>
      </c>
    </row>
    <row r="418" spans="1:11" ht="14.5" thickBot="1">
      <c r="H418" s="191">
        <f>SUM(H414:H417)</f>
        <v>430000</v>
      </c>
    </row>
    <row r="419" spans="1:11" ht="14.5" thickBot="1">
      <c r="H419" s="192">
        <v>430000</v>
      </c>
    </row>
    <row r="420" spans="1:11" ht="14">
      <c r="H420" s="193"/>
    </row>
    <row r="422" spans="1:11" ht="14">
      <c r="A422" s="186">
        <v>46063</v>
      </c>
      <c r="B422" s="194" t="s">
        <v>131</v>
      </c>
      <c r="H422" s="193"/>
    </row>
    <row r="423" spans="1:11" ht="14">
      <c r="A423" s="154"/>
      <c r="B423" s="11" t="s">
        <v>389</v>
      </c>
      <c r="C423" s="11" t="s">
        <v>386</v>
      </c>
      <c r="D423" s="167" t="s">
        <v>248</v>
      </c>
      <c r="E423" s="11" t="s">
        <v>301</v>
      </c>
      <c r="F423" s="12" t="s">
        <v>44</v>
      </c>
      <c r="G423" s="7" t="s">
        <v>385</v>
      </c>
      <c r="H423" s="13">
        <v>100000</v>
      </c>
      <c r="I423" s="231" t="s">
        <v>25</v>
      </c>
      <c r="J423" s="225">
        <v>46063</v>
      </c>
      <c r="K423" s="40" t="s">
        <v>131</v>
      </c>
    </row>
    <row r="424" spans="1:11" ht="14">
      <c r="A424" s="154" t="s">
        <v>277</v>
      </c>
      <c r="B424" s="11" t="s">
        <v>390</v>
      </c>
      <c r="C424" s="11" t="s">
        <v>386</v>
      </c>
      <c r="D424" s="167" t="s">
        <v>248</v>
      </c>
      <c r="E424" s="11" t="s">
        <v>301</v>
      </c>
      <c r="F424" s="12" t="s">
        <v>39</v>
      </c>
      <c r="G424" s="7" t="s">
        <v>385</v>
      </c>
      <c r="H424" s="13">
        <v>50000</v>
      </c>
      <c r="I424" s="231" t="s">
        <v>25</v>
      </c>
      <c r="J424" s="225">
        <v>46063</v>
      </c>
      <c r="K424" s="40" t="s">
        <v>131</v>
      </c>
    </row>
    <row r="425" spans="1:11" ht="14">
      <c r="A425" s="154"/>
      <c r="B425" s="11" t="s">
        <v>391</v>
      </c>
      <c r="C425" s="11" t="s">
        <v>386</v>
      </c>
      <c r="D425" s="167" t="s">
        <v>248</v>
      </c>
      <c r="E425" s="11" t="s">
        <v>302</v>
      </c>
      <c r="F425" s="12" t="s">
        <v>304</v>
      </c>
      <c r="G425" s="7" t="s">
        <v>385</v>
      </c>
      <c r="H425" s="13">
        <v>50000</v>
      </c>
      <c r="I425" s="231" t="s">
        <v>25</v>
      </c>
      <c r="J425" s="225">
        <v>46063</v>
      </c>
      <c r="K425" s="40" t="s">
        <v>131</v>
      </c>
    </row>
    <row r="426" spans="1:11" ht="14">
      <c r="A426" s="151"/>
      <c r="B426" s="11" t="s">
        <v>392</v>
      </c>
      <c r="C426" s="11" t="s">
        <v>386</v>
      </c>
      <c r="D426" s="239" t="s">
        <v>248</v>
      </c>
      <c r="E426" s="11" t="s">
        <v>302</v>
      </c>
      <c r="F426" s="12" t="s">
        <v>18</v>
      </c>
      <c r="G426" s="7" t="s">
        <v>385</v>
      </c>
      <c r="H426" s="13">
        <v>50000</v>
      </c>
      <c r="I426" s="231" t="s">
        <v>25</v>
      </c>
      <c r="J426" s="225">
        <v>46063</v>
      </c>
      <c r="K426" s="40" t="s">
        <v>131</v>
      </c>
    </row>
    <row r="427" spans="1:11" ht="14.5" thickBot="1">
      <c r="H427" s="191">
        <f>SUM(H423:H426)</f>
        <v>250000</v>
      </c>
    </row>
    <row r="428" spans="1:11" ht="14.5" thickBot="1">
      <c r="H428" s="192">
        <v>250000</v>
      </c>
    </row>
    <row r="431" spans="1:11" ht="14">
      <c r="A431" s="186">
        <v>46063</v>
      </c>
      <c r="B431" s="194" t="s">
        <v>131</v>
      </c>
      <c r="H431" s="193"/>
    </row>
    <row r="432" spans="1:11" ht="14">
      <c r="A432" s="154"/>
      <c r="B432" s="11" t="s">
        <v>391</v>
      </c>
      <c r="C432" s="11" t="s">
        <v>387</v>
      </c>
      <c r="D432" s="167" t="s">
        <v>248</v>
      </c>
      <c r="E432" s="11" t="s">
        <v>302</v>
      </c>
      <c r="F432" s="12" t="s">
        <v>304</v>
      </c>
      <c r="G432" s="7" t="s">
        <v>388</v>
      </c>
      <c r="H432" s="13">
        <v>200000</v>
      </c>
      <c r="I432" s="231" t="s">
        <v>25</v>
      </c>
      <c r="J432" s="225">
        <v>46063</v>
      </c>
      <c r="K432" s="40" t="s">
        <v>131</v>
      </c>
    </row>
    <row r="433" spans="1:14" ht="14">
      <c r="A433" s="154" t="s">
        <v>277</v>
      </c>
      <c r="B433" s="11" t="s">
        <v>102</v>
      </c>
      <c r="C433" s="11" t="s">
        <v>387</v>
      </c>
      <c r="D433" s="167" t="s">
        <v>248</v>
      </c>
      <c r="E433" s="11" t="s">
        <v>302</v>
      </c>
      <c r="F433" s="12" t="s">
        <v>18</v>
      </c>
      <c r="G433" s="7" t="s">
        <v>388</v>
      </c>
      <c r="H433" s="13">
        <v>50000</v>
      </c>
      <c r="I433" s="231" t="s">
        <v>25</v>
      </c>
      <c r="J433" s="225">
        <v>46063</v>
      </c>
      <c r="K433" s="40" t="s">
        <v>131</v>
      </c>
    </row>
    <row r="434" spans="1:14" ht="14.5" thickBot="1">
      <c r="H434" s="191">
        <f>SUM(H432:H433)</f>
        <v>250000</v>
      </c>
    </row>
    <row r="435" spans="1:14" ht="14.5" thickBot="1">
      <c r="H435" s="192">
        <v>250000</v>
      </c>
    </row>
    <row r="437" spans="1:14">
      <c r="A437" s="186">
        <v>46076</v>
      </c>
      <c r="B437" s="194" t="s">
        <v>372</v>
      </c>
      <c r="K437" s="67"/>
    </row>
    <row r="438" spans="1:14" ht="14">
      <c r="A438" s="246"/>
      <c r="B438" s="11" t="s">
        <v>260</v>
      </c>
      <c r="C438" s="11" t="s">
        <v>395</v>
      </c>
      <c r="D438" s="254" t="s">
        <v>248</v>
      </c>
      <c r="E438" s="1" t="s">
        <v>301</v>
      </c>
      <c r="F438" s="255" t="s">
        <v>37</v>
      </c>
      <c r="G438" s="7" t="s">
        <v>394</v>
      </c>
      <c r="H438" s="8">
        <v>250000</v>
      </c>
      <c r="I438" s="231" t="s">
        <v>15</v>
      </c>
      <c r="J438" s="250">
        <v>46076</v>
      </c>
      <c r="K438" s="40" t="s">
        <v>372</v>
      </c>
    </row>
    <row r="439" spans="1:14" ht="14">
      <c r="A439" s="247"/>
      <c r="B439" s="11" t="s">
        <v>396</v>
      </c>
      <c r="C439" s="11" t="s">
        <v>395</v>
      </c>
      <c r="D439" s="254" t="s">
        <v>248</v>
      </c>
      <c r="E439" s="1" t="s">
        <v>301</v>
      </c>
      <c r="F439" s="255" t="s">
        <v>39</v>
      </c>
      <c r="G439" s="7" t="s">
        <v>394</v>
      </c>
      <c r="H439" s="8">
        <v>200000</v>
      </c>
      <c r="I439" s="231" t="s">
        <v>15</v>
      </c>
      <c r="J439" s="250">
        <v>46076</v>
      </c>
      <c r="K439" s="40" t="s">
        <v>372</v>
      </c>
      <c r="L439" s="280" t="s">
        <v>402</v>
      </c>
      <c r="M439" s="281"/>
    </row>
    <row r="440" spans="1:14" ht="14">
      <c r="A440" s="247"/>
      <c r="B440" s="11" t="s">
        <v>262</v>
      </c>
      <c r="C440" s="11" t="s">
        <v>395</v>
      </c>
      <c r="D440" s="254" t="s">
        <v>248</v>
      </c>
      <c r="E440" s="1" t="s">
        <v>301</v>
      </c>
      <c r="F440" s="256" t="s">
        <v>37</v>
      </c>
      <c r="G440" s="7" t="s">
        <v>394</v>
      </c>
      <c r="H440" s="8">
        <v>200000</v>
      </c>
      <c r="I440" s="231" t="s">
        <v>15</v>
      </c>
      <c r="J440" s="250">
        <v>46076</v>
      </c>
      <c r="K440" s="40" t="s">
        <v>372</v>
      </c>
      <c r="L440" s="280" t="s">
        <v>402</v>
      </c>
      <c r="M440" s="281"/>
    </row>
    <row r="441" spans="1:14" ht="14">
      <c r="A441" s="247"/>
      <c r="B441" s="11" t="s">
        <v>163</v>
      </c>
      <c r="C441" s="11" t="s">
        <v>395</v>
      </c>
      <c r="D441" s="254" t="s">
        <v>248</v>
      </c>
      <c r="E441" s="1" t="s">
        <v>303</v>
      </c>
      <c r="F441" s="255" t="s">
        <v>37</v>
      </c>
      <c r="G441" s="7" t="s">
        <v>394</v>
      </c>
      <c r="H441" s="8">
        <v>150000</v>
      </c>
      <c r="I441" s="231" t="s">
        <v>15</v>
      </c>
      <c r="J441" s="250">
        <v>46076</v>
      </c>
      <c r="K441" s="40" t="s">
        <v>372</v>
      </c>
    </row>
    <row r="442" spans="1:14" ht="14">
      <c r="A442" s="247"/>
      <c r="B442" s="11" t="s">
        <v>397</v>
      </c>
      <c r="C442" s="11" t="s">
        <v>395</v>
      </c>
      <c r="D442" s="254" t="s">
        <v>248</v>
      </c>
      <c r="E442" s="1" t="s">
        <v>303</v>
      </c>
      <c r="F442" s="255" t="s">
        <v>44</v>
      </c>
      <c r="G442" s="7" t="s">
        <v>394</v>
      </c>
      <c r="H442" s="8">
        <v>150000</v>
      </c>
      <c r="I442" s="231" t="s">
        <v>15</v>
      </c>
      <c r="J442" s="250">
        <v>46076</v>
      </c>
      <c r="K442" s="40" t="s">
        <v>372</v>
      </c>
      <c r="M442" s="40"/>
      <c r="N442" s="152" t="s">
        <v>349</v>
      </c>
    </row>
    <row r="443" spans="1:14" ht="14">
      <c r="A443" s="248" t="s">
        <v>294</v>
      </c>
      <c r="B443" s="11" t="s">
        <v>407</v>
      </c>
      <c r="C443" s="11" t="s">
        <v>395</v>
      </c>
      <c r="D443" s="254" t="s">
        <v>248</v>
      </c>
      <c r="E443" s="1" t="s">
        <v>301</v>
      </c>
      <c r="F443" s="255" t="s">
        <v>44</v>
      </c>
      <c r="G443" s="7" t="s">
        <v>394</v>
      </c>
      <c r="H443" s="8">
        <v>200000</v>
      </c>
      <c r="I443" s="231" t="s">
        <v>15</v>
      </c>
      <c r="J443" s="250">
        <v>46076</v>
      </c>
      <c r="K443" s="40" t="s">
        <v>372</v>
      </c>
      <c r="M443" s="40" t="str">
        <f>F443</f>
        <v>לאומי</v>
      </c>
      <c r="N443" s="39">
        <f>SUMIF(F438:F452,M443,H438:H452)</f>
        <v>850000</v>
      </c>
    </row>
    <row r="444" spans="1:14" ht="14">
      <c r="A444" s="247"/>
      <c r="B444" s="11" t="s">
        <v>109</v>
      </c>
      <c r="C444" s="11" t="s">
        <v>395</v>
      </c>
      <c r="D444" s="254" t="s">
        <v>248</v>
      </c>
      <c r="E444" s="1" t="s">
        <v>371</v>
      </c>
      <c r="F444" s="255" t="s">
        <v>39</v>
      </c>
      <c r="G444" s="7" t="s">
        <v>394</v>
      </c>
      <c r="H444" s="8">
        <v>100000</v>
      </c>
      <c r="I444" s="231" t="s">
        <v>15</v>
      </c>
      <c r="J444" s="250">
        <v>46076</v>
      </c>
      <c r="K444" s="40" t="s">
        <v>372</v>
      </c>
      <c r="M444" s="40" t="str">
        <f>F440</f>
        <v>פועלים</v>
      </c>
      <c r="N444" s="39">
        <f>SUMIF(F438:F452,M444,H438:H452)</f>
        <v>850000</v>
      </c>
    </row>
    <row r="445" spans="1:14" ht="14">
      <c r="A445" s="247"/>
      <c r="B445" s="11" t="s">
        <v>74</v>
      </c>
      <c r="C445" s="11" t="s">
        <v>395</v>
      </c>
      <c r="D445" s="254" t="s">
        <v>248</v>
      </c>
      <c r="E445" s="1" t="s">
        <v>303</v>
      </c>
      <c r="F445" s="255" t="s">
        <v>44</v>
      </c>
      <c r="G445" s="7" t="s">
        <v>394</v>
      </c>
      <c r="H445" s="8">
        <v>100000</v>
      </c>
      <c r="I445" s="231" t="s">
        <v>15</v>
      </c>
      <c r="J445" s="250">
        <v>46076</v>
      </c>
      <c r="K445" s="40" t="s">
        <v>372</v>
      </c>
      <c r="M445" s="40" t="str">
        <f>F439</f>
        <v>מזרחי</v>
      </c>
      <c r="N445" s="39">
        <f>SUMIF(F438:F452,M445,H438:H452)</f>
        <v>300000</v>
      </c>
    </row>
    <row r="446" spans="1:14" ht="14">
      <c r="A446" s="247"/>
      <c r="B446" s="11" t="s">
        <v>58</v>
      </c>
      <c r="C446" s="11" t="s">
        <v>395</v>
      </c>
      <c r="D446" s="254" t="s">
        <v>248</v>
      </c>
      <c r="E446" s="1" t="s">
        <v>301</v>
      </c>
      <c r="F446" s="255" t="s">
        <v>18</v>
      </c>
      <c r="G446" s="7" t="s">
        <v>394</v>
      </c>
      <c r="H446" s="8">
        <v>200000</v>
      </c>
      <c r="I446" s="231" t="s">
        <v>15</v>
      </c>
      <c r="J446" s="250">
        <v>46076</v>
      </c>
      <c r="K446" s="40" t="s">
        <v>372</v>
      </c>
      <c r="M446" s="40" t="str">
        <f>F451</f>
        <v>יובנק</v>
      </c>
      <c r="N446" s="39">
        <f>SUMIF(F438:F452,M446,H438:H452)</f>
        <v>200000</v>
      </c>
    </row>
    <row r="447" spans="1:14" ht="14">
      <c r="A447" s="247"/>
      <c r="B447" s="11" t="s">
        <v>375</v>
      </c>
      <c r="C447" s="11" t="s">
        <v>395</v>
      </c>
      <c r="D447" s="254" t="s">
        <v>248</v>
      </c>
      <c r="E447" s="1" t="s">
        <v>318</v>
      </c>
      <c r="F447" s="255" t="s">
        <v>37</v>
      </c>
      <c r="G447" s="7" t="s">
        <v>394</v>
      </c>
      <c r="H447" s="8">
        <v>100000</v>
      </c>
      <c r="I447" s="231" t="s">
        <v>15</v>
      </c>
      <c r="J447" s="250">
        <v>46076</v>
      </c>
      <c r="K447" s="40" t="s">
        <v>372</v>
      </c>
      <c r="M447" s="40" t="str">
        <f>F446</f>
        <v>דיסקונט</v>
      </c>
      <c r="N447" s="39">
        <f>SUMIF(F438:F452,M447,H438:H452)</f>
        <v>800000</v>
      </c>
    </row>
    <row r="448" spans="1:14" ht="14">
      <c r="A448" s="247"/>
      <c r="B448" s="11" t="s">
        <v>403</v>
      </c>
      <c r="C448" s="11" t="s">
        <v>395</v>
      </c>
      <c r="D448" s="254" t="s">
        <v>248</v>
      </c>
      <c r="E448" s="1" t="s">
        <v>302</v>
      </c>
      <c r="F448" s="255" t="s">
        <v>37</v>
      </c>
      <c r="G448" s="7" t="s">
        <v>394</v>
      </c>
      <c r="H448" s="8">
        <v>150000</v>
      </c>
      <c r="I448" s="231" t="s">
        <v>15</v>
      </c>
      <c r="J448" s="250">
        <v>46076</v>
      </c>
      <c r="K448" s="40" t="s">
        <v>372</v>
      </c>
      <c r="N448" s="195">
        <f>SUM(N443:N447)</f>
        <v>3000000</v>
      </c>
    </row>
    <row r="449" spans="1:13" ht="14">
      <c r="A449" s="247"/>
      <c r="B449" s="11" t="s">
        <v>45</v>
      </c>
      <c r="C449" s="11" t="s">
        <v>395</v>
      </c>
      <c r="D449" s="254" t="s">
        <v>248</v>
      </c>
      <c r="E449" s="1" t="s">
        <v>302</v>
      </c>
      <c r="F449" s="255" t="s">
        <v>18</v>
      </c>
      <c r="G449" s="7" t="s">
        <v>394</v>
      </c>
      <c r="H449" s="8">
        <v>350000</v>
      </c>
      <c r="I449" s="231" t="s">
        <v>15</v>
      </c>
      <c r="J449" s="250">
        <v>46076</v>
      </c>
      <c r="K449" s="40" t="s">
        <v>372</v>
      </c>
    </row>
    <row r="450" spans="1:13" ht="14">
      <c r="A450" s="247"/>
      <c r="B450" s="11" t="s">
        <v>306</v>
      </c>
      <c r="C450" s="11" t="s">
        <v>395</v>
      </c>
      <c r="D450" s="254" t="s">
        <v>248</v>
      </c>
      <c r="E450" s="1" t="s">
        <v>303</v>
      </c>
      <c r="F450" s="255" t="s">
        <v>18</v>
      </c>
      <c r="G450" s="7" t="s">
        <v>394</v>
      </c>
      <c r="H450" s="8">
        <v>250000</v>
      </c>
      <c r="I450" s="231" t="s">
        <v>15</v>
      </c>
      <c r="J450" s="250">
        <v>46076</v>
      </c>
      <c r="K450" s="40" t="s">
        <v>372</v>
      </c>
    </row>
    <row r="451" spans="1:13" ht="14">
      <c r="A451" s="247"/>
      <c r="B451" s="11" t="s">
        <v>351</v>
      </c>
      <c r="C451" s="11" t="s">
        <v>395</v>
      </c>
      <c r="D451" s="254" t="s">
        <v>248</v>
      </c>
      <c r="E451" s="1" t="s">
        <v>302</v>
      </c>
      <c r="F451" s="255" t="s">
        <v>78</v>
      </c>
      <c r="G451" s="7" t="s">
        <v>394</v>
      </c>
      <c r="H451" s="8">
        <v>200000</v>
      </c>
      <c r="I451" s="231" t="s">
        <v>15</v>
      </c>
      <c r="J451" s="250">
        <v>46076</v>
      </c>
      <c r="K451" s="40" t="s">
        <v>372</v>
      </c>
    </row>
    <row r="452" spans="1:13" ht="14">
      <c r="A452" s="247"/>
      <c r="B452" s="11" t="s">
        <v>54</v>
      </c>
      <c r="C452" s="11" t="s">
        <v>395</v>
      </c>
      <c r="D452" s="254" t="s">
        <v>248</v>
      </c>
      <c r="E452" s="1" t="s">
        <v>301</v>
      </c>
      <c r="F452" s="255" t="s">
        <v>44</v>
      </c>
      <c r="G452" s="7" t="s">
        <v>394</v>
      </c>
      <c r="H452" s="8">
        <v>400000</v>
      </c>
      <c r="I452" s="231" t="s">
        <v>15</v>
      </c>
      <c r="J452" s="250">
        <v>46076</v>
      </c>
      <c r="K452" s="40" t="s">
        <v>372</v>
      </c>
    </row>
    <row r="453" spans="1:13" ht="14.5" thickBot="1">
      <c r="H453" s="191">
        <f>SUM(H438:H452)</f>
        <v>3000000</v>
      </c>
    </row>
    <row r="454" spans="1:13" ht="14.5" thickBot="1">
      <c r="H454" s="192">
        <v>3000000</v>
      </c>
      <c r="L454" s="223" t="s">
        <v>378</v>
      </c>
      <c r="M454" s="253">
        <f>H454-N448</f>
        <v>0</v>
      </c>
    </row>
    <row r="455" spans="1:13" ht="14">
      <c r="A455"/>
      <c r="B455"/>
      <c r="H455" s="193"/>
    </row>
    <row r="457" spans="1:13" ht="14">
      <c r="A457" s="186">
        <v>46078</v>
      </c>
      <c r="B457" s="194" t="s">
        <v>398</v>
      </c>
      <c r="H457" s="193"/>
    </row>
    <row r="458" spans="1:13" ht="14">
      <c r="A458" s="154"/>
      <c r="B458" s="11" t="s">
        <v>222</v>
      </c>
      <c r="C458" s="11" t="s">
        <v>400</v>
      </c>
      <c r="D458" s="167" t="s">
        <v>248</v>
      </c>
      <c r="E458" s="11" t="s">
        <v>301</v>
      </c>
      <c r="F458" s="12" t="s">
        <v>37</v>
      </c>
      <c r="G458" s="7" t="s">
        <v>401</v>
      </c>
      <c r="H458" s="13">
        <v>100000</v>
      </c>
      <c r="I458" s="231" t="s">
        <v>25</v>
      </c>
      <c r="J458" s="250">
        <v>46078</v>
      </c>
      <c r="K458" s="40" t="s">
        <v>372</v>
      </c>
    </row>
    <row r="459" spans="1:13" ht="14">
      <c r="A459" s="154" t="s">
        <v>399</v>
      </c>
      <c r="B459" s="11" t="s">
        <v>389</v>
      </c>
      <c r="C459" s="11" t="s">
        <v>400</v>
      </c>
      <c r="D459" s="167" t="s">
        <v>248</v>
      </c>
      <c r="E459" s="11" t="s">
        <v>301</v>
      </c>
      <c r="F459" s="12" t="s">
        <v>44</v>
      </c>
      <c r="G459" s="7" t="s">
        <v>401</v>
      </c>
      <c r="H459" s="13">
        <v>100000</v>
      </c>
      <c r="I459" s="231" t="s">
        <v>25</v>
      </c>
      <c r="J459" s="250">
        <v>46078</v>
      </c>
      <c r="K459" s="40" t="s">
        <v>372</v>
      </c>
    </row>
    <row r="460" spans="1:13" ht="14">
      <c r="A460" s="154"/>
      <c r="B460" s="11" t="s">
        <v>21</v>
      </c>
      <c r="C460" s="11" t="s">
        <v>400</v>
      </c>
      <c r="D460" s="254" t="s">
        <v>248</v>
      </c>
      <c r="E460" s="1" t="s">
        <v>302</v>
      </c>
      <c r="F460" s="7" t="s">
        <v>304</v>
      </c>
      <c r="G460" s="7" t="s">
        <v>401</v>
      </c>
      <c r="H460" s="8">
        <v>150000</v>
      </c>
      <c r="I460" s="231" t="s">
        <v>25</v>
      </c>
      <c r="J460" s="250">
        <v>46078</v>
      </c>
      <c r="K460" s="40" t="s">
        <v>372</v>
      </c>
    </row>
    <row r="461" spans="1:13" ht="14">
      <c r="A461" s="151"/>
      <c r="B461" s="11"/>
      <c r="C461" s="11"/>
      <c r="D461" s="239"/>
      <c r="E461" s="11"/>
      <c r="F461" s="12"/>
      <c r="G461" s="7"/>
      <c r="H461" s="13"/>
      <c r="I461" s="231" t="s">
        <v>25</v>
      </c>
      <c r="J461" s="250">
        <v>46078</v>
      </c>
      <c r="K461" s="40" t="s">
        <v>372</v>
      </c>
    </row>
    <row r="462" spans="1:13" ht="14.5" thickBot="1">
      <c r="H462" s="191">
        <f>SUM(H458:H461)</f>
        <v>350000</v>
      </c>
    </row>
    <row r="463" spans="1:13" ht="14.5" thickBot="1">
      <c r="H463" s="192">
        <v>350000</v>
      </c>
    </row>
    <row r="467" spans="1:12" ht="14">
      <c r="A467" s="261">
        <v>46084</v>
      </c>
      <c r="B467" s="194" t="s">
        <v>131</v>
      </c>
      <c r="H467" s="193"/>
    </row>
    <row r="468" spans="1:12" ht="14">
      <c r="A468" s="251" t="s">
        <v>404</v>
      </c>
      <c r="B468" s="11" t="s">
        <v>222</v>
      </c>
      <c r="C468" s="11" t="s">
        <v>405</v>
      </c>
      <c r="D468" s="167" t="s">
        <v>248</v>
      </c>
      <c r="E468" s="11" t="s">
        <v>301</v>
      </c>
      <c r="F468" s="249" t="s">
        <v>37</v>
      </c>
      <c r="G468" s="7" t="s">
        <v>406</v>
      </c>
      <c r="H468" s="252">
        <v>150000</v>
      </c>
      <c r="I468" s="231" t="s">
        <v>53</v>
      </c>
      <c r="J468" s="250">
        <v>46084</v>
      </c>
      <c r="K468" s="257" t="s">
        <v>131</v>
      </c>
    </row>
    <row r="469" spans="1:12" ht="14.5" thickBot="1">
      <c r="H469" s="191">
        <v>150000</v>
      </c>
    </row>
    <row r="470" spans="1:12" ht="14.5" thickBot="1">
      <c r="H470" s="192">
        <v>150000</v>
      </c>
    </row>
    <row r="472" spans="1:12" ht="14">
      <c r="A472" s="261">
        <v>46098</v>
      </c>
      <c r="B472" s="262" t="s">
        <v>372</v>
      </c>
      <c r="D472" s="38"/>
      <c r="K472" s="67"/>
    </row>
    <row r="473" spans="1:12" ht="14">
      <c r="A473" s="246"/>
      <c r="B473" s="11" t="s">
        <v>413</v>
      </c>
      <c r="C473" s="11" t="s">
        <v>408</v>
      </c>
      <c r="D473" s="254" t="s">
        <v>248</v>
      </c>
      <c r="E473" s="1" t="s">
        <v>301</v>
      </c>
      <c r="F473" s="7" t="s">
        <v>37</v>
      </c>
      <c r="G473" s="7" t="s">
        <v>409</v>
      </c>
      <c r="H473" s="8">
        <v>150000</v>
      </c>
      <c r="I473" s="231" t="s">
        <v>15</v>
      </c>
      <c r="J473" s="250">
        <v>46098</v>
      </c>
      <c r="K473" s="257" t="s">
        <v>372</v>
      </c>
      <c r="L473" s="263"/>
    </row>
    <row r="474" spans="1:12" ht="14">
      <c r="A474" s="247"/>
      <c r="B474" s="11" t="s">
        <v>54</v>
      </c>
      <c r="C474" s="11" t="s">
        <v>408</v>
      </c>
      <c r="D474" s="254" t="s">
        <v>248</v>
      </c>
      <c r="E474" s="1" t="s">
        <v>301</v>
      </c>
      <c r="F474" s="7" t="s">
        <v>44</v>
      </c>
      <c r="G474" s="7" t="s">
        <v>409</v>
      </c>
      <c r="H474" s="8">
        <v>150000</v>
      </c>
      <c r="I474" s="231" t="s">
        <v>15</v>
      </c>
      <c r="J474" s="250">
        <v>46098</v>
      </c>
      <c r="K474" s="257" t="s">
        <v>372</v>
      </c>
    </row>
    <row r="475" spans="1:12" ht="14">
      <c r="A475" s="247"/>
      <c r="B475" s="11" t="s">
        <v>71</v>
      </c>
      <c r="C475" s="11" t="s">
        <v>408</v>
      </c>
      <c r="D475" s="254" t="s">
        <v>248</v>
      </c>
      <c r="E475" s="1" t="s">
        <v>301</v>
      </c>
      <c r="F475" s="258" t="s">
        <v>37</v>
      </c>
      <c r="G475" s="7" t="s">
        <v>409</v>
      </c>
      <c r="H475" s="8">
        <v>200000</v>
      </c>
      <c r="I475" s="231" t="s">
        <v>15</v>
      </c>
      <c r="J475" s="250">
        <v>46098</v>
      </c>
      <c r="K475" s="257" t="s">
        <v>372</v>
      </c>
    </row>
    <row r="476" spans="1:12" ht="14">
      <c r="A476" s="247"/>
      <c r="B476" s="11" t="s">
        <v>306</v>
      </c>
      <c r="C476" s="11" t="s">
        <v>408</v>
      </c>
      <c r="D476" s="254" t="s">
        <v>248</v>
      </c>
      <c r="E476" s="1" t="s">
        <v>303</v>
      </c>
      <c r="F476" s="7" t="s">
        <v>18</v>
      </c>
      <c r="G476" s="7" t="s">
        <v>409</v>
      </c>
      <c r="H476" s="8">
        <v>250000</v>
      </c>
      <c r="I476" s="231" t="s">
        <v>15</v>
      </c>
      <c r="J476" s="250">
        <v>46098</v>
      </c>
      <c r="K476" s="257" t="s">
        <v>372</v>
      </c>
    </row>
    <row r="477" spans="1:12" ht="14">
      <c r="A477" s="247"/>
      <c r="B477" s="11" t="s">
        <v>417</v>
      </c>
      <c r="C477" s="11" t="s">
        <v>408</v>
      </c>
      <c r="D477" s="254" t="s">
        <v>248</v>
      </c>
      <c r="E477" s="1" t="s">
        <v>302</v>
      </c>
      <c r="F477" s="7" t="s">
        <v>39</v>
      </c>
      <c r="G477" s="7" t="s">
        <v>409</v>
      </c>
      <c r="H477" s="8">
        <v>250000</v>
      </c>
      <c r="I477" s="231" t="s">
        <v>15</v>
      </c>
      <c r="J477" s="250">
        <v>46098</v>
      </c>
      <c r="K477" s="257" t="s">
        <v>372</v>
      </c>
    </row>
    <row r="478" spans="1:12" ht="14">
      <c r="A478" s="248" t="s">
        <v>278</v>
      </c>
      <c r="B478" s="11" t="s">
        <v>415</v>
      </c>
      <c r="C478" s="11" t="s">
        <v>408</v>
      </c>
      <c r="D478" s="254" t="s">
        <v>248</v>
      </c>
      <c r="E478" s="1" t="s">
        <v>302</v>
      </c>
      <c r="F478" s="7" t="s">
        <v>78</v>
      </c>
      <c r="G478" s="7" t="s">
        <v>409</v>
      </c>
      <c r="H478" s="8">
        <v>150000</v>
      </c>
      <c r="I478" s="231" t="s">
        <v>15</v>
      </c>
      <c r="J478" s="250">
        <v>46098</v>
      </c>
      <c r="K478" s="257" t="s">
        <v>372</v>
      </c>
    </row>
    <row r="479" spans="1:12" ht="14">
      <c r="A479" s="247"/>
      <c r="B479" s="11" t="s">
        <v>416</v>
      </c>
      <c r="C479" s="11" t="s">
        <v>408</v>
      </c>
      <c r="D479" s="254" t="s">
        <v>248</v>
      </c>
      <c r="E479" s="1" t="s">
        <v>302</v>
      </c>
      <c r="F479" s="7" t="s">
        <v>44</v>
      </c>
      <c r="G479" s="7" t="s">
        <v>409</v>
      </c>
      <c r="H479" s="8">
        <v>250000</v>
      </c>
      <c r="I479" s="231" t="s">
        <v>15</v>
      </c>
      <c r="J479" s="250">
        <v>46098</v>
      </c>
      <c r="K479" s="257" t="s">
        <v>372</v>
      </c>
    </row>
    <row r="480" spans="1:12" ht="14">
      <c r="A480" s="247"/>
      <c r="B480" s="11" t="s">
        <v>432</v>
      </c>
      <c r="C480" s="11" t="s">
        <v>408</v>
      </c>
      <c r="D480" s="254" t="s">
        <v>248</v>
      </c>
      <c r="E480" s="1" t="s">
        <v>302</v>
      </c>
      <c r="F480" s="7" t="s">
        <v>37</v>
      </c>
      <c r="G480" s="7" t="s">
        <v>409</v>
      </c>
      <c r="H480" s="8">
        <v>400000</v>
      </c>
      <c r="I480" s="231" t="s">
        <v>15</v>
      </c>
      <c r="J480" s="250">
        <v>46098</v>
      </c>
      <c r="K480" s="257" t="s">
        <v>372</v>
      </c>
    </row>
    <row r="481" spans="1:11" ht="14">
      <c r="A481" s="247"/>
      <c r="B481" s="11" t="s">
        <v>426</v>
      </c>
      <c r="C481" s="11" t="s">
        <v>408</v>
      </c>
      <c r="D481" s="254" t="s">
        <v>248</v>
      </c>
      <c r="E481" s="1" t="s">
        <v>100</v>
      </c>
      <c r="F481" s="7" t="s">
        <v>37</v>
      </c>
      <c r="G481" s="7" t="s">
        <v>409</v>
      </c>
      <c r="H481" s="8">
        <v>200000</v>
      </c>
      <c r="I481" s="231" t="s">
        <v>15</v>
      </c>
      <c r="J481" s="250">
        <v>46098</v>
      </c>
      <c r="K481" s="257" t="s">
        <v>372</v>
      </c>
    </row>
    <row r="482" spans="1:11" ht="14.5" thickBot="1">
      <c r="H482" s="191">
        <f>SUM(H473:H481)</f>
        <v>2000000</v>
      </c>
    </row>
    <row r="483" spans="1:11" ht="14.5" thickBot="1">
      <c r="H483" s="192">
        <v>2000000</v>
      </c>
    </row>
    <row r="485" spans="1:11" ht="14">
      <c r="A485" s="261">
        <v>46098</v>
      </c>
      <c r="B485" s="262" t="s">
        <v>131</v>
      </c>
      <c r="D485" s="38"/>
      <c r="H485" s="193"/>
    </row>
    <row r="486" spans="1:11" ht="14">
      <c r="A486" s="154"/>
      <c r="B486" s="11" t="s">
        <v>414</v>
      </c>
      <c r="C486" s="11" t="s">
        <v>411</v>
      </c>
      <c r="D486" s="167" t="s">
        <v>248</v>
      </c>
      <c r="E486" s="11" t="s">
        <v>303</v>
      </c>
      <c r="F486" s="12" t="s">
        <v>114</v>
      </c>
      <c r="G486" s="7" t="s">
        <v>412</v>
      </c>
      <c r="H486" s="13">
        <v>50000</v>
      </c>
      <c r="I486" s="231" t="s">
        <v>25</v>
      </c>
      <c r="J486" s="250">
        <v>46098</v>
      </c>
      <c r="K486" s="257" t="s">
        <v>131</v>
      </c>
    </row>
    <row r="487" spans="1:11" ht="14">
      <c r="A487" s="260" t="s">
        <v>423</v>
      </c>
      <c r="B487" s="11" t="s">
        <v>437</v>
      </c>
      <c r="C487" s="11" t="s">
        <v>411</v>
      </c>
      <c r="D487" s="167" t="s">
        <v>248</v>
      </c>
      <c r="E487" s="11" t="s">
        <v>301</v>
      </c>
      <c r="F487" s="12" t="s">
        <v>37</v>
      </c>
      <c r="G487" s="7" t="s">
        <v>412</v>
      </c>
      <c r="H487" s="13">
        <v>150000</v>
      </c>
      <c r="I487" s="231" t="s">
        <v>25</v>
      </c>
      <c r="J487" s="250">
        <v>46098</v>
      </c>
      <c r="K487" s="257" t="s">
        <v>131</v>
      </c>
    </row>
    <row r="488" spans="1:11" ht="14">
      <c r="A488" s="154"/>
      <c r="B488" s="11" t="s">
        <v>21</v>
      </c>
      <c r="C488" s="11" t="s">
        <v>411</v>
      </c>
      <c r="D488" s="167" t="s">
        <v>248</v>
      </c>
      <c r="E488" s="1" t="s">
        <v>302</v>
      </c>
      <c r="F488" s="7" t="s">
        <v>304</v>
      </c>
      <c r="G488" s="7" t="s">
        <v>412</v>
      </c>
      <c r="H488" s="8">
        <v>200000</v>
      </c>
      <c r="I488" s="231" t="s">
        <v>25</v>
      </c>
      <c r="J488" s="250">
        <v>46098</v>
      </c>
      <c r="K488" s="257" t="s">
        <v>131</v>
      </c>
    </row>
    <row r="489" spans="1:11" ht="14">
      <c r="A489" s="154"/>
      <c r="B489" s="1" t="s">
        <v>433</v>
      </c>
      <c r="C489" s="1" t="s">
        <v>411</v>
      </c>
      <c r="D489" s="167" t="s">
        <v>248</v>
      </c>
      <c r="E489" s="1" t="s">
        <v>302</v>
      </c>
      <c r="F489" s="7" t="s">
        <v>37</v>
      </c>
      <c r="G489" s="7" t="s">
        <v>412</v>
      </c>
      <c r="H489" s="8">
        <v>100000</v>
      </c>
      <c r="I489" s="231" t="s">
        <v>25</v>
      </c>
      <c r="J489" s="250">
        <v>46098</v>
      </c>
      <c r="K489" s="257" t="s">
        <v>131</v>
      </c>
    </row>
    <row r="490" spans="1:11" ht="14">
      <c r="A490" s="151"/>
      <c r="B490" s="11" t="s">
        <v>79</v>
      </c>
      <c r="C490" s="11" t="s">
        <v>411</v>
      </c>
      <c r="D490" s="167" t="s">
        <v>248</v>
      </c>
      <c r="E490" s="11" t="s">
        <v>301</v>
      </c>
      <c r="F490" s="12" t="s">
        <v>37</v>
      </c>
      <c r="G490" s="7" t="s">
        <v>412</v>
      </c>
      <c r="H490" s="13">
        <v>50000</v>
      </c>
      <c r="I490" s="231" t="s">
        <v>25</v>
      </c>
      <c r="J490" s="250">
        <v>46098</v>
      </c>
      <c r="K490" s="257" t="s">
        <v>131</v>
      </c>
    </row>
    <row r="491" spans="1:11" ht="14.5" thickBot="1">
      <c r="H491" s="191">
        <f>SUM(H486:H490)</f>
        <v>550000</v>
      </c>
    </row>
    <row r="492" spans="1:11" ht="14.5" thickBot="1">
      <c r="H492" s="192">
        <v>550000</v>
      </c>
    </row>
    <row r="493" spans="1:11" ht="14">
      <c r="A493" s="261">
        <v>46100</v>
      </c>
      <c r="B493" s="262" t="s">
        <v>372</v>
      </c>
      <c r="D493" s="38"/>
      <c r="K493" s="67"/>
    </row>
    <row r="494" spans="1:11" ht="14">
      <c r="A494" s="246"/>
      <c r="B494" s="11" t="s">
        <v>421</v>
      </c>
      <c r="C494" s="11" t="s">
        <v>418</v>
      </c>
      <c r="D494" s="254" t="s">
        <v>248</v>
      </c>
      <c r="E494" s="1" t="s">
        <v>301</v>
      </c>
      <c r="F494" s="7" t="s">
        <v>18</v>
      </c>
      <c r="G494" s="7" t="s">
        <v>419</v>
      </c>
      <c r="H494" s="8">
        <v>400000</v>
      </c>
      <c r="I494" s="231" t="s">
        <v>15</v>
      </c>
      <c r="J494" s="250">
        <v>46100</v>
      </c>
      <c r="K494" s="257" t="s">
        <v>372</v>
      </c>
    </row>
    <row r="495" spans="1:11" ht="14">
      <c r="A495" s="247"/>
      <c r="B495" s="11" t="s">
        <v>422</v>
      </c>
      <c r="C495" s="11" t="s">
        <v>418</v>
      </c>
      <c r="D495" s="254" t="s">
        <v>248</v>
      </c>
      <c r="E495" s="1" t="s">
        <v>318</v>
      </c>
      <c r="F495" s="7" t="s">
        <v>44</v>
      </c>
      <c r="G495" s="7" t="s">
        <v>419</v>
      </c>
      <c r="H495" s="8">
        <v>500000</v>
      </c>
      <c r="I495" s="231" t="s">
        <v>15</v>
      </c>
      <c r="J495" s="250">
        <v>46100</v>
      </c>
      <c r="K495" s="257" t="s">
        <v>372</v>
      </c>
    </row>
    <row r="496" spans="1:11" ht="14">
      <c r="A496" s="247"/>
      <c r="B496" s="11" t="s">
        <v>417</v>
      </c>
      <c r="C496" s="11" t="s">
        <v>418</v>
      </c>
      <c r="D496" s="254" t="s">
        <v>248</v>
      </c>
      <c r="E496" s="1" t="s">
        <v>302</v>
      </c>
      <c r="F496" s="258" t="s">
        <v>39</v>
      </c>
      <c r="G496" s="7" t="s">
        <v>419</v>
      </c>
      <c r="H496" s="8">
        <v>400000</v>
      </c>
      <c r="I496" s="231" t="s">
        <v>15</v>
      </c>
      <c r="J496" s="250">
        <v>46100</v>
      </c>
      <c r="K496" s="257" t="s">
        <v>372</v>
      </c>
    </row>
    <row r="497" spans="1:13" ht="14">
      <c r="A497" s="247"/>
      <c r="B497" s="11" t="s">
        <v>429</v>
      </c>
      <c r="C497" s="11" t="s">
        <v>418</v>
      </c>
      <c r="D497" s="254" t="s">
        <v>248</v>
      </c>
      <c r="E497" s="1" t="s">
        <v>318</v>
      </c>
      <c r="F497" s="7" t="s">
        <v>427</v>
      </c>
      <c r="G497" s="7" t="s">
        <v>419</v>
      </c>
      <c r="H497" s="8">
        <v>100000</v>
      </c>
      <c r="I497" s="231" t="s">
        <v>15</v>
      </c>
      <c r="J497" s="250">
        <v>46100</v>
      </c>
      <c r="K497" s="257" t="s">
        <v>372</v>
      </c>
    </row>
    <row r="498" spans="1:13" ht="14">
      <c r="A498" s="247"/>
      <c r="B498" s="11" t="s">
        <v>71</v>
      </c>
      <c r="C498" s="11" t="s">
        <v>418</v>
      </c>
      <c r="D498" s="254" t="s">
        <v>248</v>
      </c>
      <c r="E498" s="1" t="s">
        <v>301</v>
      </c>
      <c r="F498" s="7" t="s">
        <v>37</v>
      </c>
      <c r="G498" s="7" t="s">
        <v>419</v>
      </c>
      <c r="H498" s="8">
        <v>100000</v>
      </c>
      <c r="I498" s="231" t="s">
        <v>15</v>
      </c>
      <c r="J498" s="250">
        <v>46100</v>
      </c>
      <c r="K498" s="257" t="s">
        <v>372</v>
      </c>
    </row>
    <row r="499" spans="1:13" ht="14">
      <c r="A499" s="248" t="s">
        <v>278</v>
      </c>
      <c r="B499" s="11" t="s">
        <v>431</v>
      </c>
      <c r="C499" s="11" t="s">
        <v>418</v>
      </c>
      <c r="D499" s="254" t="s">
        <v>248</v>
      </c>
      <c r="E499" s="1" t="s">
        <v>371</v>
      </c>
      <c r="F499" s="7" t="s">
        <v>44</v>
      </c>
      <c r="G499" s="7" t="s">
        <v>419</v>
      </c>
      <c r="H499" s="8">
        <v>100000</v>
      </c>
      <c r="I499" s="231" t="s">
        <v>15</v>
      </c>
      <c r="J499" s="250">
        <v>46100</v>
      </c>
      <c r="K499" s="257" t="s">
        <v>372</v>
      </c>
      <c r="L499" s="40"/>
    </row>
    <row r="500" spans="1:13" ht="14">
      <c r="A500" s="247"/>
      <c r="B500" s="11" t="s">
        <v>163</v>
      </c>
      <c r="C500" s="11" t="s">
        <v>418</v>
      </c>
      <c r="D500" s="254" t="s">
        <v>248</v>
      </c>
      <c r="E500" s="1" t="s">
        <v>303</v>
      </c>
      <c r="F500" s="7" t="s">
        <v>37</v>
      </c>
      <c r="G500" s="7" t="s">
        <v>419</v>
      </c>
      <c r="H500" s="8">
        <v>150000</v>
      </c>
      <c r="I500" s="231" t="s">
        <v>15</v>
      </c>
      <c r="J500" s="250">
        <v>46100</v>
      </c>
      <c r="K500" s="257" t="s">
        <v>372</v>
      </c>
    </row>
    <row r="501" spans="1:13" ht="14">
      <c r="A501" s="247"/>
      <c r="B501" s="11" t="s">
        <v>351</v>
      </c>
      <c r="C501" s="11" t="s">
        <v>418</v>
      </c>
      <c r="D501" s="254" t="s">
        <v>248</v>
      </c>
      <c r="E501" s="1" t="s">
        <v>302</v>
      </c>
      <c r="F501" s="7" t="s">
        <v>78</v>
      </c>
      <c r="G501" s="7" t="s">
        <v>419</v>
      </c>
      <c r="H501" s="8">
        <v>250000</v>
      </c>
      <c r="I501" s="231" t="s">
        <v>15</v>
      </c>
      <c r="J501" s="250">
        <v>46100</v>
      </c>
      <c r="K501" s="257" t="s">
        <v>372</v>
      </c>
    </row>
    <row r="502" spans="1:13" ht="14.5" thickBot="1">
      <c r="H502" s="191">
        <f>SUM(H494:H501)</f>
        <v>2000000</v>
      </c>
      <c r="L502" s="272">
        <f>H503-H502</f>
        <v>0</v>
      </c>
      <c r="M502" s="271"/>
    </row>
    <row r="503" spans="1:13" ht="14.5" thickBot="1">
      <c r="H503" s="192">
        <v>2000000</v>
      </c>
    </row>
    <row r="504" spans="1:13" ht="14">
      <c r="A504" s="261">
        <v>46100</v>
      </c>
      <c r="B504" s="262" t="s">
        <v>372</v>
      </c>
      <c r="D504" s="38"/>
      <c r="H504" s="193"/>
    </row>
    <row r="505" spans="1:13" ht="14">
      <c r="A505" s="154"/>
      <c r="B505" s="11" t="s">
        <v>437</v>
      </c>
      <c r="C505" s="11" t="s">
        <v>420</v>
      </c>
      <c r="D505" s="167" t="s">
        <v>248</v>
      </c>
      <c r="E505" s="11" t="s">
        <v>301</v>
      </c>
      <c r="F505" s="12" t="s">
        <v>37</v>
      </c>
      <c r="G505" s="7" t="s">
        <v>434</v>
      </c>
      <c r="H505" s="13">
        <v>100000</v>
      </c>
      <c r="I505" s="231" t="s">
        <v>25</v>
      </c>
      <c r="J505" s="250">
        <v>46100</v>
      </c>
      <c r="K505" s="257" t="s">
        <v>372</v>
      </c>
    </row>
    <row r="506" spans="1:13" ht="14">
      <c r="A506" s="260" t="s">
        <v>410</v>
      </c>
      <c r="B506" s="11" t="s">
        <v>397</v>
      </c>
      <c r="C506" s="11" t="s">
        <v>420</v>
      </c>
      <c r="D506" s="167" t="s">
        <v>248</v>
      </c>
      <c r="E506" s="11" t="s">
        <v>303</v>
      </c>
      <c r="F506" s="12" t="s">
        <v>44</v>
      </c>
      <c r="G506" s="7" t="s">
        <v>434</v>
      </c>
      <c r="H506" s="13">
        <v>50000</v>
      </c>
      <c r="I506" s="231" t="s">
        <v>25</v>
      </c>
      <c r="J506" s="250">
        <v>46100</v>
      </c>
      <c r="K506" s="257" t="s">
        <v>372</v>
      </c>
    </row>
    <row r="507" spans="1:13" ht="14">
      <c r="A507" s="154"/>
      <c r="B507" s="11" t="s">
        <v>389</v>
      </c>
      <c r="C507" s="11" t="s">
        <v>420</v>
      </c>
      <c r="D507" s="254" t="s">
        <v>248</v>
      </c>
      <c r="E507" s="1" t="s">
        <v>301</v>
      </c>
      <c r="F507" s="7" t="s">
        <v>44</v>
      </c>
      <c r="G507" s="7" t="s">
        <v>434</v>
      </c>
      <c r="H507" s="8">
        <v>100000</v>
      </c>
      <c r="I507" s="231" t="s">
        <v>25</v>
      </c>
      <c r="J507" s="250">
        <v>46100</v>
      </c>
      <c r="K507" s="257" t="s">
        <v>372</v>
      </c>
    </row>
    <row r="508" spans="1:13" ht="14">
      <c r="A508" s="154"/>
      <c r="B508" s="11" t="s">
        <v>287</v>
      </c>
      <c r="C508" s="11" t="s">
        <v>420</v>
      </c>
      <c r="D508" s="254" t="s">
        <v>248</v>
      </c>
      <c r="E508" s="1" t="s">
        <v>371</v>
      </c>
      <c r="F508" s="7" t="s">
        <v>18</v>
      </c>
      <c r="G508" s="7" t="s">
        <v>434</v>
      </c>
      <c r="H508" s="8">
        <v>100000</v>
      </c>
      <c r="I508" s="231" t="s">
        <v>25</v>
      </c>
      <c r="J508" s="250">
        <v>46100</v>
      </c>
      <c r="K508" s="257" t="s">
        <v>372</v>
      </c>
    </row>
    <row r="509" spans="1:13" ht="14">
      <c r="A509" s="154"/>
      <c r="B509" s="11" t="s">
        <v>392</v>
      </c>
      <c r="C509" s="11" t="s">
        <v>420</v>
      </c>
      <c r="D509" s="254" t="s">
        <v>248</v>
      </c>
      <c r="E509" s="1" t="s">
        <v>302</v>
      </c>
      <c r="F509" s="7" t="s">
        <v>18</v>
      </c>
      <c r="G509" s="7" t="s">
        <v>434</v>
      </c>
      <c r="H509" s="8">
        <v>150000</v>
      </c>
      <c r="I509" s="231" t="s">
        <v>25</v>
      </c>
      <c r="J509" s="250">
        <v>46100</v>
      </c>
      <c r="K509" s="257" t="s">
        <v>372</v>
      </c>
    </row>
    <row r="510" spans="1:13" ht="14.5" thickBot="1">
      <c r="H510" s="191">
        <f>SUM(H505:H509)</f>
        <v>500000</v>
      </c>
    </row>
    <row r="511" spans="1:13" ht="14.5" thickBot="1">
      <c r="H511" s="192">
        <v>500000</v>
      </c>
      <c r="L511" s="272">
        <f>H511-H510</f>
        <v>0</v>
      </c>
    </row>
    <row r="513" spans="1:12" ht="14">
      <c r="A513" s="264">
        <v>46104</v>
      </c>
      <c r="B513" s="265" t="s">
        <v>372</v>
      </c>
      <c r="C513" s="269" t="s">
        <v>428</v>
      </c>
      <c r="D513" s="38"/>
      <c r="K513" s="67"/>
    </row>
    <row r="514" spans="1:12" ht="14">
      <c r="A514" s="246"/>
      <c r="B514" s="2" t="s">
        <v>421</v>
      </c>
      <c r="C514" s="11" t="s">
        <v>424</v>
      </c>
      <c r="D514" s="294" t="s">
        <v>248</v>
      </c>
      <c r="E514" s="1" t="s">
        <v>301</v>
      </c>
      <c r="F514" s="7" t="s">
        <v>18</v>
      </c>
      <c r="G514" s="7" t="s">
        <v>425</v>
      </c>
      <c r="H514" s="8">
        <v>400000</v>
      </c>
      <c r="I514" s="266" t="s">
        <v>15</v>
      </c>
      <c r="J514" s="267"/>
      <c r="K514" s="40"/>
    </row>
    <row r="515" spans="1:12" ht="14">
      <c r="A515" s="247"/>
      <c r="B515" s="11" t="s">
        <v>60</v>
      </c>
      <c r="C515" s="11" t="s">
        <v>424</v>
      </c>
      <c r="D515" s="294" t="s">
        <v>248</v>
      </c>
      <c r="E515" s="1" t="s">
        <v>303</v>
      </c>
      <c r="F515" s="258" t="s">
        <v>37</v>
      </c>
      <c r="G515" s="7" t="s">
        <v>425</v>
      </c>
      <c r="H515" s="8">
        <v>250000</v>
      </c>
      <c r="I515" s="266" t="s">
        <v>15</v>
      </c>
      <c r="J515" s="267"/>
      <c r="K515" s="40"/>
    </row>
    <row r="516" spans="1:12" ht="14">
      <c r="A516" s="247"/>
      <c r="B516" s="11" t="s">
        <v>430</v>
      </c>
      <c r="C516" s="11" t="s">
        <v>424</v>
      </c>
      <c r="D516" s="294" t="s">
        <v>248</v>
      </c>
      <c r="E516" s="1" t="s">
        <v>371</v>
      </c>
      <c r="F516" s="7" t="s">
        <v>114</v>
      </c>
      <c r="G516" s="7" t="s">
        <v>425</v>
      </c>
      <c r="H516" s="8">
        <v>150000</v>
      </c>
      <c r="I516" s="266" t="s">
        <v>15</v>
      </c>
      <c r="J516" s="267"/>
      <c r="K516" s="40"/>
      <c r="L516" s="270"/>
    </row>
    <row r="517" spans="1:12" ht="14">
      <c r="A517" s="247"/>
      <c r="B517" s="11" t="s">
        <v>196</v>
      </c>
      <c r="C517" s="11" t="s">
        <v>424</v>
      </c>
      <c r="D517" s="294" t="s">
        <v>248</v>
      </c>
      <c r="E517" s="1" t="s">
        <v>301</v>
      </c>
      <c r="F517" s="7" t="s">
        <v>39</v>
      </c>
      <c r="G517" s="7" t="s">
        <v>425</v>
      </c>
      <c r="H517" s="8">
        <v>300000</v>
      </c>
      <c r="I517" s="266" t="s">
        <v>15</v>
      </c>
      <c r="J517" s="267"/>
      <c r="K517" s="40"/>
    </row>
    <row r="518" spans="1:12" ht="14">
      <c r="A518" s="268" t="s">
        <v>278</v>
      </c>
      <c r="B518" s="11" t="s">
        <v>396</v>
      </c>
      <c r="C518" s="11" t="s">
        <v>424</v>
      </c>
      <c r="D518" s="254" t="s">
        <v>248</v>
      </c>
      <c r="E518" s="1" t="s">
        <v>301</v>
      </c>
      <c r="F518" s="7" t="s">
        <v>39</v>
      </c>
      <c r="G518" s="7" t="s">
        <v>425</v>
      </c>
      <c r="H518" s="8">
        <v>200000</v>
      </c>
      <c r="I518" s="266" t="s">
        <v>15</v>
      </c>
      <c r="J518" s="267"/>
      <c r="K518" s="40"/>
    </row>
    <row r="519" spans="1:12" ht="14">
      <c r="A519" s="247"/>
      <c r="B519" s="11" t="s">
        <v>438</v>
      </c>
      <c r="C519" s="11" t="s">
        <v>424</v>
      </c>
      <c r="D519" s="254" t="s">
        <v>248</v>
      </c>
      <c r="E519" s="1" t="s">
        <v>302</v>
      </c>
      <c r="F519" s="7" t="s">
        <v>18</v>
      </c>
      <c r="G519" s="7" t="s">
        <v>425</v>
      </c>
      <c r="H519" s="8">
        <v>250000</v>
      </c>
      <c r="I519" s="266" t="s">
        <v>15</v>
      </c>
      <c r="J519" s="267"/>
      <c r="K519" s="40"/>
    </row>
    <row r="520" spans="1:12" ht="14">
      <c r="A520" s="247"/>
      <c r="B520" s="11" t="s">
        <v>351</v>
      </c>
      <c r="C520" s="11" t="s">
        <v>424</v>
      </c>
      <c r="D520" s="254" t="s">
        <v>248</v>
      </c>
      <c r="E520" s="1" t="s">
        <v>302</v>
      </c>
      <c r="F520" s="7" t="s">
        <v>78</v>
      </c>
      <c r="G520" s="7" t="s">
        <v>425</v>
      </c>
      <c r="H520" s="8">
        <v>250000</v>
      </c>
      <c r="I520" s="266" t="s">
        <v>15</v>
      </c>
      <c r="J520" s="267"/>
      <c r="K520" s="40"/>
    </row>
    <row r="521" spans="1:12" ht="14">
      <c r="A521" s="247"/>
      <c r="B521" s="11" t="s">
        <v>417</v>
      </c>
      <c r="C521" s="11" t="s">
        <v>424</v>
      </c>
      <c r="D521" s="254" t="s">
        <v>374</v>
      </c>
      <c r="E521" s="1" t="s">
        <v>302</v>
      </c>
      <c r="F521" s="7" t="s">
        <v>39</v>
      </c>
      <c r="G521" s="7" t="s">
        <v>425</v>
      </c>
      <c r="H521" s="8">
        <v>200000</v>
      </c>
      <c r="I521" s="266" t="s">
        <v>15</v>
      </c>
      <c r="J521" s="267"/>
      <c r="K521" s="40"/>
    </row>
    <row r="522" spans="1:12" ht="14">
      <c r="A522" s="247"/>
      <c r="B522" s="11"/>
      <c r="C522" s="11" t="s">
        <v>424</v>
      </c>
      <c r="D522" s="254"/>
      <c r="E522" s="1"/>
      <c r="F522" s="7"/>
      <c r="G522" s="7" t="s">
        <v>425</v>
      </c>
      <c r="H522" s="8"/>
      <c r="I522" s="266" t="s">
        <v>15</v>
      </c>
      <c r="J522" s="267"/>
      <c r="K522" s="40"/>
    </row>
    <row r="523" spans="1:12" ht="14">
      <c r="A523" s="259"/>
      <c r="B523" s="11"/>
      <c r="C523" s="11" t="s">
        <v>424</v>
      </c>
      <c r="D523" s="254"/>
      <c r="E523" s="1"/>
      <c r="F523" s="7"/>
      <c r="G523" s="7" t="s">
        <v>425</v>
      </c>
      <c r="H523" s="8"/>
      <c r="I523" s="266" t="s">
        <v>15</v>
      </c>
      <c r="J523" s="267"/>
      <c r="K523" s="40"/>
    </row>
    <row r="524" spans="1:12" ht="14.5" thickBot="1">
      <c r="H524" s="191">
        <f>SUM(H514:H523)</f>
        <v>2000000</v>
      </c>
    </row>
    <row r="525" spans="1:12" ht="14.5" thickBot="1">
      <c r="H525" s="192">
        <v>2000000</v>
      </c>
      <c r="L525" s="272">
        <f>H525-H524</f>
        <v>0</v>
      </c>
    </row>
  </sheetData>
  <autoFilter ref="A1:M420" xr:uid="{083B88F4-C97C-4C16-9B91-64AAE20A0680}"/>
  <mergeCells count="18">
    <mergeCell ref="A136:A146"/>
    <mergeCell ref="A148:A151"/>
    <mergeCell ref="A155:A157"/>
    <mergeCell ref="A162:A170"/>
    <mergeCell ref="A172:A179"/>
    <mergeCell ref="A181:A186"/>
    <mergeCell ref="A245:A249"/>
    <mergeCell ref="A256:A264"/>
    <mergeCell ref="A270:A278"/>
    <mergeCell ref="A188:A193"/>
    <mergeCell ref="A196:A204"/>
    <mergeCell ref="A206:A211"/>
    <mergeCell ref="A213:A215"/>
    <mergeCell ref="L440:M440"/>
    <mergeCell ref="A220:A222"/>
    <mergeCell ref="A231:A239"/>
    <mergeCell ref="L439:M439"/>
    <mergeCell ref="A359:A362"/>
  </mergeCells>
  <phoneticPr fontId="2" type="noConversion"/>
  <dataValidations count="10">
    <dataValidation type="list" allowBlank="1" showInputMessage="1" showErrorMessage="1" sqref="F355 F340:F350" xr:uid="{7745ECB8-B3B6-45B7-B583-88EE49B97109}">
      <formula1>"פועלים,לאומי,דיסקונט,מזרחי,UBP,Safra"</formula1>
    </dataValidation>
    <dataValidation type="list" allowBlank="1" showInputMessage="1" showErrorMessage="1" sqref="E355 E368:E373 E340:E350 E384:E385 E359:E361 E398 E438 E473 E494 E514" xr:uid="{46D72ADB-B957-4346-B892-C036ACFA1FA4}">
      <formula1>"תום ריכטר,רון צוברי,קובי לוין,תמיר כהן"</formula1>
    </dataValidation>
    <dataValidation type="list" allowBlank="1" showInputMessage="1" showErrorMessage="1" sqref="D355" xr:uid="{ABBF4D01-6821-4EE8-BA49-134BD8A19FD7}">
      <formula1>"עדיין לא לשלוח הוראה,ממתין להכנת הוראה,הועברה הוראה לחתימת לקוח,הוראה חתומה הועברה לבנק,בוצע"</formula1>
    </dataValidation>
    <dataValidation type="list" allowBlank="1" showInputMessage="1" showErrorMessage="1" sqref="D340:D350" xr:uid="{4C00927E-68AC-4625-AD51-3158FCA7C87D}">
      <formula1>"עדיין לא לשלוח הוראה,ממתין להכנת הוראה,הועברה הוראה לחתימת הלקוח,הוראה חתומה הועברה לבנק,בוצע"</formula1>
    </dataValidation>
    <dataValidation type="list" allowBlank="1" showInputMessage="1" showErrorMessage="1" sqref="F379:F380" xr:uid="{7EF94740-B7BC-4D39-8AF8-AF463B84C804}">
      <formula1>"פועלים,דיסקונט,לאומי,מזרחי,Safra,UB,הבינלאומי"</formula1>
    </dataValidation>
    <dataValidation type="list" allowBlank="1" showInputMessage="1" showErrorMessage="1" sqref="C379:C380 E391:E392 E386:E387 E362 E374:E379" xr:uid="{E6462EAB-2AF2-4974-BF33-CC335643365B}">
      <formula1>"תום ריכטר,רון צוברי,קובי לוין,תמיר כהן,אורן שפירא"</formula1>
    </dataValidation>
    <dataValidation type="list" allowBlank="1" showInputMessage="1" showErrorMessage="1" sqref="F384:F387 F391:F392 F359:F362 F368:F378 F401:F410 F398:F399 F432:F433 F423:F426 F414:F417 F441:F452 F438:F439 F458:F461 F468 F473:F474 F497:F501 F494:F495 F476:F481 F486:F490 F505:F509 F514 F516:F523" xr:uid="{E3909AFF-1CE5-499D-A72C-DC1BEA5B6D02}">
      <formula1>"פועלים,דיסקונט,לאומי,מזרחי,Safra,UBP,הבינלאומי,יובנק"</formula1>
    </dataValidation>
    <dataValidation type="list" allowBlank="1" showInputMessage="1" showErrorMessage="1" sqref="D368:D380 D391:D392 D359:D362 D384:D387" xr:uid="{CB3316E6-18A5-42BD-A438-96812B9B21F4}">
      <formula1>"עדיין לא לשלוח הוראה,ממתין להכנת הוראה,הועברה הוראה לחתימת לקוח,הועברה הוראה לרון,הועברה הוראה לקובי,הועברה בקשה לאורן,הועברה בקשה לתמיר,הוראה חתומה הועברה לבנק,בוצע"</formula1>
    </dataValidation>
    <dataValidation type="list" allowBlank="1" showInputMessage="1" showErrorMessage="1" sqref="E380 E399:E410 E432:E433 E423:E426 E414:E417 E439:E452 E458:E461 E468 E495:E501 E505:E509 E486:E490 E474:E481 E515:E523" xr:uid="{3246EDCD-0871-467A-B0A2-D69AFCF7CE9C}">
      <formula1>"תום ריכטר,רון צוברי,קובי לוין,תמיר כהן,אורן שפירא,מורן גלבר"</formula1>
    </dataValidation>
    <dataValidation type="list" allowBlank="1" showInputMessage="1" showErrorMessage="1" sqref="D398:D410 D423:D426 D432:D433 D414:D417 D438:D452 D458:D461 D468 D494:D501 D505:D509 D486:D490 D514:D523 D473:D481" xr:uid="{59ACBF14-8545-424B-B59F-96EDB5DC9FFF}">
      <formula1>"עדיין לא לשלוח הוראה,ממתין להכנת הוראה,הועברה הוראה לחתימת לקוח,הועברה הוראה לתום,הועברה הוראה לרון,הועברה הוראה לקובי,הועברה הוראה לאורן,הועברה הוראה לתמיר,הועברה הוראה למורן,הוראה חתומה הועברה לבנק,בוצע"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9E4FF-3490-447C-AE22-33F7DC07C571}">
  <dimension ref="B7:F28"/>
  <sheetViews>
    <sheetView showGridLines="0" rightToLeft="1" workbookViewId="0">
      <selection activeCell="I27" sqref="I27"/>
    </sheetView>
  </sheetViews>
  <sheetFormatPr defaultRowHeight="14"/>
  <cols>
    <col min="3" max="3" width="10.83203125" bestFit="1" customWidth="1"/>
    <col min="4" max="4" width="7.4140625" bestFit="1" customWidth="1"/>
    <col min="5" max="5" width="20.9140625" customWidth="1"/>
  </cols>
  <sheetData>
    <row r="7" spans="2:6">
      <c r="D7" s="172" t="s">
        <v>25</v>
      </c>
    </row>
    <row r="8" spans="2:6">
      <c r="B8" s="7" t="s">
        <v>17</v>
      </c>
      <c r="C8" s="7" t="s">
        <v>169</v>
      </c>
      <c r="D8" s="171">
        <v>25000</v>
      </c>
      <c r="E8" s="40" t="s">
        <v>312</v>
      </c>
      <c r="F8" s="7" t="s">
        <v>343</v>
      </c>
    </row>
    <row r="9" spans="2:6">
      <c r="B9" s="7" t="s">
        <v>17</v>
      </c>
      <c r="C9" s="7" t="s">
        <v>115</v>
      </c>
      <c r="D9" s="171">
        <v>25000</v>
      </c>
      <c r="E9" s="40" t="s">
        <v>312</v>
      </c>
      <c r="F9" s="7" t="s">
        <v>344</v>
      </c>
    </row>
    <row r="10" spans="2:6">
      <c r="B10" s="7" t="s">
        <v>20</v>
      </c>
      <c r="C10" s="7" t="s">
        <v>359</v>
      </c>
      <c r="D10" s="146">
        <v>150000</v>
      </c>
      <c r="E10" s="40" t="s">
        <v>312</v>
      </c>
      <c r="F10" s="7" t="s">
        <v>357</v>
      </c>
    </row>
    <row r="13" spans="2:6">
      <c r="D13" s="172" t="s">
        <v>53</v>
      </c>
    </row>
    <row r="14" spans="2:6">
      <c r="B14" s="7" t="s">
        <v>20</v>
      </c>
      <c r="C14" s="7" t="s">
        <v>50</v>
      </c>
      <c r="D14" s="8">
        <v>200000</v>
      </c>
      <c r="E14" s="40" t="s">
        <v>356</v>
      </c>
      <c r="F14" s="7" t="s">
        <v>358</v>
      </c>
    </row>
    <row r="16" spans="2:6">
      <c r="D16" s="172" t="s">
        <v>15</v>
      </c>
    </row>
    <row r="17" spans="2:6">
      <c r="B17" s="7" t="s">
        <v>12</v>
      </c>
      <c r="C17" s="7" t="s">
        <v>315</v>
      </c>
      <c r="D17" s="173">
        <v>400000</v>
      </c>
      <c r="E17" s="78" t="s">
        <v>311</v>
      </c>
      <c r="F17" s="7" t="s">
        <v>343</v>
      </c>
    </row>
    <row r="18" spans="2:6">
      <c r="B18" s="7" t="s">
        <v>12</v>
      </c>
      <c r="C18" s="7" t="s">
        <v>361</v>
      </c>
      <c r="D18" s="18" t="s">
        <v>360</v>
      </c>
      <c r="E18" s="78" t="s">
        <v>311</v>
      </c>
      <c r="F18" s="7" t="s">
        <v>343</v>
      </c>
    </row>
    <row r="19" spans="2:6">
      <c r="B19" s="7" t="s">
        <v>12</v>
      </c>
      <c r="C19" s="7" t="s">
        <v>79</v>
      </c>
      <c r="D19" s="18">
        <v>100000</v>
      </c>
      <c r="E19" s="78" t="s">
        <v>311</v>
      </c>
      <c r="F19" s="7" t="s">
        <v>343</v>
      </c>
    </row>
    <row r="20" spans="2:6">
      <c r="B20" s="7" t="s">
        <v>12</v>
      </c>
      <c r="C20" s="7" t="s">
        <v>58</v>
      </c>
      <c r="D20" s="173">
        <v>200000</v>
      </c>
      <c r="E20" s="78" t="s">
        <v>311</v>
      </c>
      <c r="F20" s="7" t="s">
        <v>345</v>
      </c>
    </row>
    <row r="21" spans="2:6">
      <c r="B21" s="7" t="s">
        <v>20</v>
      </c>
      <c r="C21" s="7" t="s">
        <v>19</v>
      </c>
      <c r="D21" s="16">
        <v>750000</v>
      </c>
      <c r="E21" s="78" t="s">
        <v>311</v>
      </c>
      <c r="F21" s="7" t="s">
        <v>345</v>
      </c>
    </row>
    <row r="22" spans="2:6">
      <c r="B22" s="7" t="s">
        <v>364</v>
      </c>
      <c r="C22" s="7" t="s">
        <v>319</v>
      </c>
      <c r="D22" s="16">
        <v>100000</v>
      </c>
      <c r="E22" s="78" t="s">
        <v>311</v>
      </c>
      <c r="F22" s="7" t="s">
        <v>343</v>
      </c>
    </row>
    <row r="23" spans="2:6">
      <c r="B23" s="7" t="s">
        <v>364</v>
      </c>
      <c r="C23" s="7" t="s">
        <v>362</v>
      </c>
      <c r="D23" s="16">
        <v>100000</v>
      </c>
      <c r="E23" s="78" t="s">
        <v>311</v>
      </c>
      <c r="F23" s="7" t="s">
        <v>343</v>
      </c>
    </row>
    <row r="24" spans="2:6">
      <c r="B24" s="7" t="s">
        <v>20</v>
      </c>
      <c r="C24" s="7" t="s">
        <v>75</v>
      </c>
      <c r="D24" s="177">
        <v>250000</v>
      </c>
      <c r="E24" s="81" t="s">
        <v>311</v>
      </c>
      <c r="F24" s="174" t="s">
        <v>343</v>
      </c>
    </row>
    <row r="25" spans="2:6">
      <c r="B25" s="7" t="s">
        <v>12</v>
      </c>
      <c r="C25" s="7" t="s">
        <v>363</v>
      </c>
      <c r="D25" s="8">
        <v>250000</v>
      </c>
      <c r="E25" s="78" t="s">
        <v>311</v>
      </c>
      <c r="F25" s="7" t="s">
        <v>346</v>
      </c>
    </row>
    <row r="26" spans="2:6">
      <c r="B26" s="7" t="s">
        <v>12</v>
      </c>
      <c r="C26" s="7" t="s">
        <v>97</v>
      </c>
      <c r="D26" s="16">
        <v>180000</v>
      </c>
      <c r="E26" s="78" t="s">
        <v>311</v>
      </c>
      <c r="F26" s="7" t="s">
        <v>344</v>
      </c>
    </row>
    <row r="27" spans="2:6">
      <c r="B27" s="7" t="s">
        <v>17</v>
      </c>
      <c r="C27" s="7" t="s">
        <v>221</v>
      </c>
      <c r="D27" s="16">
        <v>200000</v>
      </c>
      <c r="E27" s="78" t="s">
        <v>311</v>
      </c>
      <c r="F27" s="7" t="s">
        <v>344</v>
      </c>
    </row>
    <row r="28" spans="2:6">
      <c r="B28" s="7" t="s">
        <v>12</v>
      </c>
      <c r="C28" s="7" t="s">
        <v>354</v>
      </c>
      <c r="D28" s="8">
        <v>300000</v>
      </c>
      <c r="E28" s="78" t="s">
        <v>311</v>
      </c>
      <c r="F28" s="7" t="s">
        <v>344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64BD8-F1CB-4C3D-8333-7C339E8A66A1}">
  <dimension ref="A2:Q12"/>
  <sheetViews>
    <sheetView rightToLeft="1" workbookViewId="0">
      <selection activeCell="C4" sqref="C4"/>
    </sheetView>
  </sheetViews>
  <sheetFormatPr defaultRowHeight="14"/>
  <cols>
    <col min="3" max="3" width="35.83203125" bestFit="1" customWidth="1"/>
    <col min="4" max="4" width="26.83203125" bestFit="1" customWidth="1"/>
    <col min="5" max="6" width="31.1640625" bestFit="1" customWidth="1"/>
  </cols>
  <sheetData>
    <row r="2" spans="1:17">
      <c r="Q2" t="s">
        <v>321</v>
      </c>
    </row>
    <row r="3" spans="1:17">
      <c r="C3" t="s">
        <v>320</v>
      </c>
      <c r="D3" t="s">
        <v>327</v>
      </c>
      <c r="E3" t="s">
        <v>331</v>
      </c>
      <c r="F3" t="s">
        <v>335</v>
      </c>
      <c r="Q3" t="s">
        <v>8</v>
      </c>
    </row>
    <row r="4" spans="1:17">
      <c r="A4" s="293" t="s">
        <v>328</v>
      </c>
      <c r="B4" t="s">
        <v>12</v>
      </c>
      <c r="C4" t="s">
        <v>322</v>
      </c>
    </row>
    <row r="5" spans="1:17">
      <c r="A5" s="293"/>
      <c r="B5" t="s">
        <v>12</v>
      </c>
      <c r="C5" t="s">
        <v>323</v>
      </c>
    </row>
    <row r="6" spans="1:17">
      <c r="A6" s="293"/>
      <c r="B6" t="s">
        <v>12</v>
      </c>
      <c r="C6" t="s">
        <v>325</v>
      </c>
    </row>
    <row r="7" spans="1:17">
      <c r="A7" s="293"/>
      <c r="B7" t="s">
        <v>324</v>
      </c>
      <c r="D7" t="s">
        <v>326</v>
      </c>
    </row>
    <row r="8" spans="1:17">
      <c r="A8" t="s">
        <v>332</v>
      </c>
      <c r="B8" t="s">
        <v>101</v>
      </c>
      <c r="D8" t="s">
        <v>333</v>
      </c>
    </row>
    <row r="9" spans="1:17">
      <c r="B9" t="s">
        <v>101</v>
      </c>
      <c r="D9" t="s">
        <v>334</v>
      </c>
    </row>
    <row r="10" spans="1:17">
      <c r="B10" t="s">
        <v>324</v>
      </c>
      <c r="E10" t="s">
        <v>337</v>
      </c>
      <c r="F10" t="s">
        <v>337</v>
      </c>
    </row>
    <row r="11" spans="1:17">
      <c r="A11" t="s">
        <v>329</v>
      </c>
      <c r="D11" t="s">
        <v>330</v>
      </c>
      <c r="F11" t="s">
        <v>336</v>
      </c>
    </row>
    <row r="12" spans="1:17">
      <c r="F12">
        <v>4</v>
      </c>
    </row>
  </sheetData>
  <mergeCells count="1">
    <mergeCell ref="A4:A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7532E-164C-41D5-BC8E-0FC7943B33E6}">
  <dimension ref="E16:J19"/>
  <sheetViews>
    <sheetView rightToLeft="1" workbookViewId="0">
      <selection activeCell="C27" sqref="C27"/>
    </sheetView>
  </sheetViews>
  <sheetFormatPr defaultRowHeight="14"/>
  <sheetData>
    <row r="16" spans="10:10">
      <c r="J16" t="s">
        <v>347</v>
      </c>
    </row>
    <row r="19" spans="5:10" ht="16">
      <c r="E19" s="32">
        <v>1</v>
      </c>
      <c r="G19" s="31">
        <v>3.8199999999999998E-2</v>
      </c>
      <c r="J19" s="30" t="s">
        <v>348</v>
      </c>
    </row>
  </sheetData>
  <hyperlinks>
    <hyperlink ref="J19" r:id="rId1" display="https://eur03.safelinks.protection.outlook.com/?url=https%3A%2F%2F6lms1w1z.r.us-east-1.awstrack.me%2FL0%2Fhttps%3A%252F%252Fmyparity.com%252Fproduct%252F01tQt0000093YpbIAE%252Flife-cycle%253Fb%3Da1ZQt000000SZNpMAO%2F1%2F0100019b6ea69976-4f7b9b35-e127-48ee-a426-742c5c8c4335-000000%2FAUBocyiiY3zlVxeM-vfpRpvmBj8%3D459&amp;data=05%7C02%7Ctom%40ar-fo.co.il%7C4604326efb8448f4703d08de47884461%7C6792e330b1764990a2d71ed9158e1823%7C0%7C0%7C639026848095017166%7CUnknown%7CTWFpbGZsb3d8eyJFbXB0eU1hcGkiOnRydWUsIlYiOiIwLjAuMDAwMCIsIlAiOiJXaW4zMiIsIkFOIjoiTWFpbCIsIldUIjoyfQ%3D%3D%7C0%7C%7C%7C&amp;sdata=woN9exeWauA545IPTcZzIQhhAfq6CxZlvFIs1a7CqMM%3D&amp;reserved=0" xr:uid="{ED474CD5-2660-4E03-8AC0-541F15EBE7F9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DAB51-CA9A-4172-AEEB-1B507F577BC2}">
  <dimension ref="C2:C4"/>
  <sheetViews>
    <sheetView rightToLeft="1" workbookViewId="0">
      <selection activeCell="C2" sqref="C2"/>
    </sheetView>
  </sheetViews>
  <sheetFormatPr defaultRowHeight="14"/>
  <cols>
    <col min="3" max="3" width="107.58203125" bestFit="1" customWidth="1"/>
    <col min="4" max="4" width="20.6640625" customWidth="1"/>
    <col min="5" max="5" width="30.1640625" customWidth="1"/>
    <col min="6" max="10" width="20.6640625" customWidth="1"/>
  </cols>
  <sheetData>
    <row r="2" spans="3:3">
      <c r="C2" t="s">
        <v>376</v>
      </c>
    </row>
    <row r="3" spans="3:3">
      <c r="C3" t="s">
        <v>317</v>
      </c>
    </row>
    <row r="4" spans="3:3">
      <c r="C4" t="s">
        <v>353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F7C43-D10C-4FD2-AE67-012C575FCBD7}">
  <dimension ref="A2:K16"/>
  <sheetViews>
    <sheetView rightToLeft="1" workbookViewId="0">
      <selection activeCell="K3" sqref="J3:K13"/>
    </sheetView>
  </sheetViews>
  <sheetFormatPr defaultRowHeight="14"/>
  <cols>
    <col min="2" max="2" width="14.1640625" style="2" customWidth="1"/>
    <col min="3" max="6" width="20.6640625" customWidth="1"/>
  </cols>
  <sheetData>
    <row r="2" spans="1:11" ht="14.5" thickBot="1"/>
    <row r="3" spans="1:11">
      <c r="B3" s="18" t="s">
        <v>248</v>
      </c>
      <c r="C3" s="14" t="s">
        <v>71</v>
      </c>
      <c r="D3" s="15" t="s">
        <v>301</v>
      </c>
      <c r="E3" s="9" t="s">
        <v>37</v>
      </c>
      <c r="F3" s="16">
        <v>100000</v>
      </c>
      <c r="J3" s="23">
        <v>100000</v>
      </c>
      <c r="K3" s="3" t="s">
        <v>343</v>
      </c>
    </row>
    <row r="4" spans="1:11">
      <c r="B4" s="19" t="s">
        <v>341</v>
      </c>
      <c r="C4" s="20" t="s">
        <v>119</v>
      </c>
      <c r="D4" s="19" t="s">
        <v>302</v>
      </c>
      <c r="E4" s="21" t="s">
        <v>37</v>
      </c>
      <c r="F4" s="22">
        <v>200000</v>
      </c>
      <c r="J4" s="24">
        <v>200000</v>
      </c>
      <c r="K4" s="4" t="s">
        <v>343</v>
      </c>
    </row>
    <row r="5" spans="1:11">
      <c r="B5" s="1" t="s">
        <v>340</v>
      </c>
      <c r="C5" s="10" t="s">
        <v>284</v>
      </c>
      <c r="D5" s="11" t="s">
        <v>302</v>
      </c>
      <c r="E5" s="12" t="s">
        <v>44</v>
      </c>
      <c r="F5" s="13">
        <v>250000</v>
      </c>
      <c r="J5" s="25">
        <v>250000</v>
      </c>
      <c r="K5" s="4" t="s">
        <v>344</v>
      </c>
    </row>
    <row r="6" spans="1:11">
      <c r="B6" s="18" t="s">
        <v>248</v>
      </c>
      <c r="C6" s="17" t="s">
        <v>19</v>
      </c>
      <c r="D6" s="18" t="s">
        <v>302</v>
      </c>
      <c r="E6" s="9" t="s">
        <v>18</v>
      </c>
      <c r="F6" s="16">
        <v>750000</v>
      </c>
      <c r="J6" s="26">
        <v>750000</v>
      </c>
      <c r="K6" s="4" t="s">
        <v>345</v>
      </c>
    </row>
    <row r="7" spans="1:11">
      <c r="B7" s="18" t="s">
        <v>248</v>
      </c>
      <c r="C7" s="17" t="s">
        <v>300</v>
      </c>
      <c r="D7" s="18" t="s">
        <v>302</v>
      </c>
      <c r="E7" s="9" t="s">
        <v>37</v>
      </c>
      <c r="F7" s="16">
        <v>250000</v>
      </c>
      <c r="J7" s="26">
        <v>250000</v>
      </c>
      <c r="K7" s="4" t="s">
        <v>343</v>
      </c>
    </row>
    <row r="8" spans="1:11">
      <c r="B8" s="18" t="s">
        <v>248</v>
      </c>
      <c r="C8" s="17" t="s">
        <v>189</v>
      </c>
      <c r="D8" s="18" t="s">
        <v>302</v>
      </c>
      <c r="E8" s="9" t="s">
        <v>18</v>
      </c>
      <c r="F8" s="16">
        <v>500000</v>
      </c>
      <c r="J8" s="26">
        <v>500000</v>
      </c>
      <c r="K8" s="4" t="s">
        <v>345</v>
      </c>
    </row>
    <row r="9" spans="1:11">
      <c r="B9" s="19" t="s">
        <v>339</v>
      </c>
      <c r="C9" s="20" t="s">
        <v>309</v>
      </c>
      <c r="D9" s="19" t="s">
        <v>301</v>
      </c>
      <c r="E9" s="21" t="s">
        <v>39</v>
      </c>
      <c r="F9" s="22">
        <v>250000</v>
      </c>
      <c r="J9" s="27">
        <v>250000</v>
      </c>
      <c r="K9" s="4" t="s">
        <v>346</v>
      </c>
    </row>
    <row r="10" spans="1:11">
      <c r="B10" s="1" t="s">
        <v>338</v>
      </c>
      <c r="C10" s="10" t="s">
        <v>306</v>
      </c>
      <c r="D10" s="11" t="s">
        <v>303</v>
      </c>
      <c r="E10" s="12" t="s">
        <v>18</v>
      </c>
      <c r="F10" s="13">
        <v>250000</v>
      </c>
      <c r="J10" s="25">
        <v>250000</v>
      </c>
      <c r="K10" s="4" t="s">
        <v>345</v>
      </c>
    </row>
    <row r="11" spans="1:11">
      <c r="B11" s="1" t="s">
        <v>340</v>
      </c>
      <c r="C11" s="10" t="s">
        <v>305</v>
      </c>
      <c r="D11" s="11" t="s">
        <v>303</v>
      </c>
      <c r="E11" s="12" t="s">
        <v>44</v>
      </c>
      <c r="F11" s="13">
        <v>200000</v>
      </c>
      <c r="J11" s="25">
        <v>200000</v>
      </c>
      <c r="K11" s="4" t="s">
        <v>344</v>
      </c>
    </row>
    <row r="12" spans="1:11">
      <c r="B12" s="1" t="s">
        <v>341</v>
      </c>
      <c r="C12" s="10" t="s">
        <v>307</v>
      </c>
      <c r="D12" s="1" t="s">
        <v>303</v>
      </c>
      <c r="E12" s="7" t="s">
        <v>37</v>
      </c>
      <c r="F12" s="8">
        <v>200000</v>
      </c>
      <c r="J12" s="28">
        <v>200000</v>
      </c>
      <c r="K12" s="4" t="s">
        <v>343</v>
      </c>
    </row>
    <row r="13" spans="1:11" ht="14.5" thickBot="1">
      <c r="B13" s="18" t="s">
        <v>248</v>
      </c>
      <c r="C13" s="17" t="s">
        <v>163</v>
      </c>
      <c r="D13" s="18" t="s">
        <v>303</v>
      </c>
      <c r="E13" s="9" t="s">
        <v>37</v>
      </c>
      <c r="F13" s="16">
        <v>150000</v>
      </c>
      <c r="J13" s="29">
        <v>150000</v>
      </c>
      <c r="K13" s="5" t="s">
        <v>343</v>
      </c>
    </row>
    <row r="16" spans="1:11">
      <c r="A16" t="s">
        <v>342</v>
      </c>
    </row>
  </sheetData>
  <dataValidations count="2">
    <dataValidation type="list" allowBlank="1" showInputMessage="1" showErrorMessage="1" sqref="D3:D13" xr:uid="{A3668168-DACC-4BCF-8E1F-7B0F080663AC}">
      <formula1>"תום ריכטר,רון צוברי,קובי לוין,תמיר כהן"</formula1>
    </dataValidation>
    <dataValidation type="list" allowBlank="1" showInputMessage="1" showErrorMessage="1" sqref="E3:E13" xr:uid="{15EABDAB-BE99-4A52-B65A-990CC9FAB0F2}">
      <formula1>"פועלים,לאומי,דיסקונט,מזרחי,UBP,Safra"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גיוסים</vt:lpstr>
      <vt:lpstr>גיליון3</vt:lpstr>
      <vt:lpstr>תרשים זרימה</vt:lpstr>
      <vt:lpstr>טמפלט</vt:lpstr>
      <vt:lpstr>גיליון2</vt:lpstr>
      <vt:lpstr>גיליון1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מורן גלבר</dc:creator>
  <cp:keywords/>
  <dc:description/>
  <cp:lastModifiedBy>Oren Shapira- Arbitrage Global</cp:lastModifiedBy>
  <cp:revision/>
  <dcterms:created xsi:type="dcterms:W3CDTF">2015-06-05T18:19:34Z</dcterms:created>
  <dcterms:modified xsi:type="dcterms:W3CDTF">2026-03-25T19:34:36Z</dcterms:modified>
  <cp:category/>
  <cp:contentStatus/>
</cp:coreProperties>
</file>